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hidePivotFieldList="1"/>
  <mc:AlternateContent xmlns:mc="http://schemas.openxmlformats.org/markup-compatibility/2006">
    <mc:Choice Requires="x15">
      <x15ac:absPath xmlns:x15ac="http://schemas.microsoft.com/office/spreadsheetml/2010/11/ac" url="F:\Qspiders class notes\EXCEL\"/>
    </mc:Choice>
  </mc:AlternateContent>
  <xr:revisionPtr revIDLastSave="0" documentId="13_ncr:1_{206B3B79-1E85-47E9-A6ED-6BC7EEB2985C}" xr6:coauthVersionLast="47" xr6:coauthVersionMax="47" xr10:uidLastSave="{00000000-0000-0000-0000-000000000000}"/>
  <bookViews>
    <workbookView xWindow="-110" yWindow="-110" windowWidth="19420" windowHeight="10300" firstSheet="5" activeTab="6" xr2:uid="{00000000-000D-0000-FFFF-FFFF00000000}"/>
  </bookViews>
  <sheets>
    <sheet name="1-Usefull insights" sheetId="2" r:id="rId1"/>
    <sheet name="2-WHO CAN GET BONUS" sheetId="3" r:id="rId2"/>
    <sheet name="3-FIND EMPLOYEE DETAILS" sheetId="5" r:id="rId3"/>
    <sheet name="4-Analys by pivot table" sheetId="10" r:id="rId4"/>
    <sheet name="5-GOAL ACHIVE AND SENERIO" sheetId="8" r:id="rId5"/>
    <sheet name="6-MACRO FOR SUMMARY" sheetId="9" r:id="rId6"/>
    <sheet name="RECOMMENDATION TO MANAGEMENT" sheetId="13" r:id="rId7"/>
  </sheets>
  <definedNames>
    <definedName name="_xlnm._FilterDatabase" localSheetId="0" hidden="1">'1-Usefull insights'!$J$3:$J$22</definedName>
    <definedName name="_xlnm.Extract" localSheetId="0">'1-Usefull insights'!$L$27</definedName>
  </definedNames>
  <calcPr calcId="191029"/>
  <pivotCaches>
    <pivotCache cacheId="2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9" l="1"/>
  <c r="M32" i="9"/>
  <c r="M31" i="9"/>
  <c r="M30" i="9"/>
  <c r="L33" i="9"/>
  <c r="L32" i="9"/>
  <c r="L31" i="9"/>
  <c r="L30" i="9"/>
  <c r="K33" i="9"/>
  <c r="K32" i="9"/>
  <c r="K31" i="9"/>
  <c r="K30" i="9"/>
  <c r="H30" i="9"/>
  <c r="F30" i="9"/>
  <c r="D30" i="9"/>
  <c r="B30" i="9"/>
  <c r="B27" i="9"/>
  <c r="C25" i="5" a="1"/>
  <c r="C10" i="8"/>
  <c r="C11" i="8"/>
  <c r="C12" i="8"/>
  <c r="C9" i="8"/>
  <c r="C6" i="8"/>
  <c r="O2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3" i="3"/>
  <c r="N4" i="3" a="1"/>
  <c r="N5" i="3" a="1"/>
  <c r="N6" i="3" a="1"/>
  <c r="N7" i="3" a="1"/>
  <c r="N8" i="3" a="1"/>
  <c r="N9" i="3" a="1"/>
  <c r="N10" i="3" a="1"/>
  <c r="N11" i="3" a="1"/>
  <c r="N12" i="3" a="1"/>
  <c r="N13" i="3" a="1"/>
  <c r="N14" i="3" a="1"/>
  <c r="N15" i="3" a="1"/>
  <c r="N16" i="3" a="1"/>
  <c r="N17" i="3" a="1"/>
  <c r="N18" i="3" a="1"/>
  <c r="N19" i="3" a="1"/>
  <c r="N20" i="3" a="1"/>
  <c r="N21" i="3" a="1"/>
  <c r="N22" i="3" a="1"/>
  <c r="N3" i="3" a="1"/>
  <c r="K28" i="2"/>
  <c r="K29" i="2"/>
  <c r="K30" i="2"/>
  <c r="K27" i="2"/>
  <c r="M30" i="2"/>
  <c r="M29" i="2"/>
  <c r="M28" i="2"/>
  <c r="M27" i="2"/>
  <c r="C30" i="2"/>
  <c r="I29" i="2"/>
  <c r="I27" i="2"/>
  <c r="I28" i="2"/>
  <c r="C28" i="2"/>
  <c r="C27" i="2"/>
  <c r="C29" i="2"/>
  <c r="D30" i="2" l="1"/>
  <c r="G28" i="2"/>
  <c r="D27" i="2"/>
  <c r="D28" i="2"/>
  <c r="G27" i="2"/>
  <c r="G29" i="2"/>
  <c r="D2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<sst xmlns="http://schemas.openxmlformats.org/spreadsheetml/2006/main" count="722" uniqueCount="112">
  <si>
    <t>Employee Name</t>
  </si>
  <si>
    <t>Department</t>
  </si>
  <si>
    <t>Region</t>
  </si>
  <si>
    <t>Sales Amount</t>
  </si>
  <si>
    <t>Performance Rating</t>
  </si>
  <si>
    <t>The best-performing region</t>
  </si>
  <si>
    <t>The best-selling product</t>
  </si>
  <si>
    <t>The top-performing employee</t>
  </si>
  <si>
    <t>Top Employee</t>
  </si>
  <si>
    <t>Best Region</t>
  </si>
  <si>
    <t>Employee ID</t>
  </si>
  <si>
    <t>Product</t>
  </si>
  <si>
    <t>Quantity Sold</t>
  </si>
  <si>
    <t>Selling Date</t>
  </si>
  <si>
    <t>Payment Method</t>
  </si>
  <si>
    <t>Year of Joining</t>
  </si>
  <si>
    <t>Joining Date</t>
  </si>
  <si>
    <t>E001</t>
  </si>
  <si>
    <t>Rahul</t>
  </si>
  <si>
    <t>Sales</t>
  </si>
  <si>
    <t>North</t>
  </si>
  <si>
    <t>Laptop</t>
  </si>
  <si>
    <t>UPI</t>
  </si>
  <si>
    <t>Excellent</t>
  </si>
  <si>
    <t>E002</t>
  </si>
  <si>
    <t>Priya</t>
  </si>
  <si>
    <t>Marketing</t>
  </si>
  <si>
    <t>South</t>
  </si>
  <si>
    <t>Mobile</t>
  </si>
  <si>
    <t>Credit Card</t>
  </si>
  <si>
    <t>Good</t>
  </si>
  <si>
    <t>E003</t>
  </si>
  <si>
    <t>Arjun</t>
  </si>
  <si>
    <t>East</t>
  </si>
  <si>
    <t>Tablet</t>
  </si>
  <si>
    <t>Cash</t>
  </si>
  <si>
    <t>Average</t>
  </si>
  <si>
    <t>E004</t>
  </si>
  <si>
    <t>Sneha</t>
  </si>
  <si>
    <t>HR</t>
  </si>
  <si>
    <t>West</t>
  </si>
  <si>
    <t>E005</t>
  </si>
  <si>
    <t>Kiran</t>
  </si>
  <si>
    <t>Debit Card</t>
  </si>
  <si>
    <t>E006</t>
  </si>
  <si>
    <t>Ananya</t>
  </si>
  <si>
    <t>Finance</t>
  </si>
  <si>
    <t>E007</t>
  </si>
  <si>
    <t>Vikram</t>
  </si>
  <si>
    <t>E008</t>
  </si>
  <si>
    <t>Divya</t>
  </si>
  <si>
    <t>E009</t>
  </si>
  <si>
    <t>Rohan</t>
  </si>
  <si>
    <t>E010</t>
  </si>
  <si>
    <t>Meena</t>
  </si>
  <si>
    <t>E011</t>
  </si>
  <si>
    <t>Ajay</t>
  </si>
  <si>
    <t>E012</t>
  </si>
  <si>
    <t>Pooja</t>
  </si>
  <si>
    <t>E013</t>
  </si>
  <si>
    <t>Sanjay</t>
  </si>
  <si>
    <t>E014</t>
  </si>
  <si>
    <t>Kavya</t>
  </si>
  <si>
    <t>E015</t>
  </si>
  <si>
    <t>Naveen</t>
  </si>
  <si>
    <t>E016</t>
  </si>
  <si>
    <t>Aishwarya</t>
  </si>
  <si>
    <t>E017</t>
  </si>
  <si>
    <t>Manish</t>
  </si>
  <si>
    <t>E018</t>
  </si>
  <si>
    <t>Swathi</t>
  </si>
  <si>
    <t>E019</t>
  </si>
  <si>
    <t>Harish</t>
  </si>
  <si>
    <t>E020</t>
  </si>
  <si>
    <t>Neha</t>
  </si>
  <si>
    <t>Top Performing Region</t>
  </si>
  <si>
    <t>Total Sales Amount</t>
  </si>
  <si>
    <t xml:space="preserve">Rank </t>
  </si>
  <si>
    <t>Best Selling Product</t>
  </si>
  <si>
    <t>Best Seling Product</t>
  </si>
  <si>
    <t>Total No.
Sold Quantity</t>
  </si>
  <si>
    <t>Best Payment Method</t>
  </si>
  <si>
    <t>No.of times</t>
  </si>
  <si>
    <t>Performance Status</t>
  </si>
  <si>
    <t>Eligible For Bonus</t>
  </si>
  <si>
    <t>Total</t>
  </si>
  <si>
    <t>Column Labels</t>
  </si>
  <si>
    <t>Grand Total</t>
  </si>
  <si>
    <t>Sum of Sales Amount</t>
  </si>
  <si>
    <t>(All)</t>
  </si>
  <si>
    <t>Current Sales:</t>
  </si>
  <si>
    <t>Percentage 
Increase</t>
  </si>
  <si>
    <t>New total</t>
  </si>
  <si>
    <t>we need to increase 40 % for increasing seles upto 7lak.</t>
  </si>
  <si>
    <t>Senerio</t>
  </si>
  <si>
    <t>Total cell</t>
  </si>
  <si>
    <t>Name</t>
  </si>
  <si>
    <t>Rank</t>
  </si>
  <si>
    <t>ENTER EMP ID</t>
  </si>
  <si>
    <t xml:space="preserve">PRODUCT BASED </t>
  </si>
  <si>
    <t xml:space="preserve">EMPLOYEE BASED </t>
  </si>
  <si>
    <t>INSIGHTS :-</t>
  </si>
  <si>
    <t>Pivot Chart based on table  1</t>
  </si>
  <si>
    <t>Pivot Chart based on table  2</t>
  </si>
  <si>
    <t>Pivot Chart based on table  2+A17:F38+A17:F38</t>
  </si>
  <si>
    <t>Current Date</t>
  </si>
  <si>
    <t>Total 
Sales</t>
  </si>
  <si>
    <t>Average 
Sales</t>
  </si>
  <si>
    <t>Highest
Sales</t>
  </si>
  <si>
    <t>Best 
Region</t>
  </si>
  <si>
    <t>Total
Sales</t>
  </si>
  <si>
    <t>The analysis shows that the East region (₹4,00,000 in sales) is the strongest performer, and Laptop is the highest-revenue product (68% of East's sales alone come from Laptops). Ajay is the top-performing employee, with ₹1,50,000 in sales.
The company should apply the East region's successful strategy to the other regions (West, South, North) — for example, by increasing Laptop promotions and training the rest of the team on the selling techniques used by top performers (Ajay, Vikram, Neha).
Based on the Goal Seek analysis, a 40% increase in average sales is required to reach the ₹7,00,000 target. This can be achieved by focusing more heavily on the North and South regions, since they currently have the lowest sales.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</si>
</sst>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9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15" fontId="0" fillId="0" borderId="1" xfId="0" applyNumberForma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5" fontId="0" fillId="0" borderId="1" xfId="0" applyNumberForma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0" xfId="0" applyAlignment="1">
      <alignment vertical="center" wrapText="1"/>
    </xf>
    <xf numFmtId="0" fontId="0" fillId="4" borderId="0" xfId="0" applyFill="1" applyAlignment="1">
      <alignment horizontal="center" vertical="center" wrapText="1"/>
    </xf>
    <xf numFmtId="0" fontId="0" fillId="2" borderId="1" xfId="0" applyFill="1" applyBorder="1"/>
    <xf numFmtId="9" fontId="0" fillId="0" borderId="1" xfId="1" applyFont="1" applyBorder="1"/>
    <xf numFmtId="0" fontId="1" fillId="2" borderId="1" xfId="0" applyFont="1" applyFill="1" applyBorder="1"/>
    <xf numFmtId="9" fontId="0" fillId="0" borderId="0" xfId="1" applyFont="1"/>
    <xf numFmtId="0" fontId="1" fillId="4" borderId="1" xfId="0" applyFont="1" applyFill="1" applyBorder="1"/>
    <xf numFmtId="0" fontId="1" fillId="0" borderId="0" xfId="0" applyFont="1"/>
    <xf numFmtId="0" fontId="1" fillId="5" borderId="1" xfId="0" applyFont="1" applyFill="1" applyBorder="1"/>
    <xf numFmtId="0" fontId="0" fillId="0" borderId="1" xfId="0" pivotButton="1" applyBorder="1"/>
    <xf numFmtId="0" fontId="1" fillId="5" borderId="2" xfId="0" applyFont="1" applyFill="1" applyBorder="1"/>
    <xf numFmtId="0" fontId="0" fillId="0" borderId="2" xfId="0" applyBorder="1"/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4" borderId="0" xfId="0" applyFill="1"/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1" xfId="0" applyFill="1" applyBorder="1"/>
    <xf numFmtId="0" fontId="0" fillId="0" borderId="1" xfId="0" applyNumberFormat="1" applyBorder="1"/>
    <xf numFmtId="0" fontId="0" fillId="2" borderId="2" xfId="0" applyFill="1" applyBorder="1" applyAlignment="1">
      <alignment wrapText="1"/>
    </xf>
    <xf numFmtId="0" fontId="0" fillId="2" borderId="2" xfId="0" applyFill="1" applyBorder="1"/>
    <xf numFmtId="22" fontId="0" fillId="6" borderId="1" xfId="0" applyNumberFormat="1" applyFill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MINI PROJECT 1.xlsm]4-Analys by pivot table!PivotTable1</c:name>
    <c:fmtId val="0"/>
  </c:pivotSource>
  <c:chart>
    <c:title>
      <c:layout>
        <c:manualLayout>
          <c:xMode val="edge"/>
          <c:yMode val="edge"/>
          <c:x val="0.39051162368610431"/>
          <c:y val="0.14423128737480104"/>
        </c:manualLayout>
      </c:layout>
      <c:overlay val="0"/>
      <c:spPr>
        <a:noFill/>
        <a:ln>
          <a:noFill/>
        </a:ln>
        <a:effectLst>
          <a:glow rad="63500">
            <a:schemeClr val="accent2"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gradFill>
                <a:gsLst>
                  <a:gs pos="0">
                    <a:schemeClr val="accent2">
                      <a:lumMod val="67000"/>
                    </a:schemeClr>
                  </a:gs>
                  <a:gs pos="49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'4-Analys by pivot table'!$B$5:$B$6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98-4CC0-8E67-A0DEFADCF48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98-4CC0-8E67-A0DEFADCF4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'4-Analys by pivot table'!$A$7:$A$10</c:f>
              <c:strCache>
                <c:ptCount val="3"/>
                <c:pt idx="0">
                  <c:v>Laptop</c:v>
                </c:pt>
                <c:pt idx="1">
                  <c:v>Mobile</c:v>
                </c:pt>
                <c:pt idx="2">
                  <c:v>Tablet</c:v>
                </c:pt>
              </c:strCache>
            </c:strRef>
          </c:cat>
          <c:val>
            <c:numRef>
              <c:f>'4-Analys by pivot table'!$B$7:$B$10</c:f>
              <c:numCache>
                <c:formatCode>General</c:formatCode>
                <c:ptCount val="3"/>
                <c:pt idx="0">
                  <c:v>270000</c:v>
                </c:pt>
                <c:pt idx="1">
                  <c:v>61000</c:v>
                </c:pt>
                <c:pt idx="2">
                  <c:v>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8-4CC0-8E67-A0DEFADCF4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MINI PROJECT 1.xlsm]4-Analys by pivot table!PivotTable2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'4-Analys by pivot table'!$B$16:$B$17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990-4A8D-B863-EEC8D2F1D6C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'4-Analys by pivot table'!$A$18:$A$38</c:f>
              <c:strCache>
                <c:ptCount val="20"/>
                <c:pt idx="0">
                  <c:v>Aishwarya</c:v>
                </c:pt>
                <c:pt idx="1">
                  <c:v>Ajay</c:v>
                </c:pt>
                <c:pt idx="2">
                  <c:v>Ananya</c:v>
                </c:pt>
                <c:pt idx="3">
                  <c:v>Arjun</c:v>
                </c:pt>
                <c:pt idx="4">
                  <c:v>Divya</c:v>
                </c:pt>
                <c:pt idx="5">
                  <c:v>Harish</c:v>
                </c:pt>
                <c:pt idx="6">
                  <c:v>Kavya</c:v>
                </c:pt>
                <c:pt idx="7">
                  <c:v>Kiran</c:v>
                </c:pt>
                <c:pt idx="8">
                  <c:v>Manish</c:v>
                </c:pt>
                <c:pt idx="9">
                  <c:v>Meena</c:v>
                </c:pt>
                <c:pt idx="10">
                  <c:v>Naveen</c:v>
                </c:pt>
                <c:pt idx="11">
                  <c:v>Neha</c:v>
                </c:pt>
                <c:pt idx="12">
                  <c:v>Pooja</c:v>
                </c:pt>
                <c:pt idx="13">
                  <c:v>Priya</c:v>
                </c:pt>
                <c:pt idx="14">
                  <c:v>Rahul</c:v>
                </c:pt>
                <c:pt idx="15">
                  <c:v>Rohan</c:v>
                </c:pt>
                <c:pt idx="16">
                  <c:v>Sanjay</c:v>
                </c:pt>
                <c:pt idx="17">
                  <c:v>Sneha</c:v>
                </c:pt>
                <c:pt idx="18">
                  <c:v>Swathi</c:v>
                </c:pt>
                <c:pt idx="19">
                  <c:v>Vikram</c:v>
                </c:pt>
              </c:strCache>
            </c:strRef>
          </c:cat>
          <c:val>
            <c:numRef>
              <c:f>'4-Analys by pivot table'!$B$18:$B$38</c:f>
              <c:numCache>
                <c:formatCode>General</c:formatCode>
                <c:ptCount val="20"/>
                <c:pt idx="1">
                  <c:v>150000</c:v>
                </c:pt>
                <c:pt idx="3">
                  <c:v>36000</c:v>
                </c:pt>
                <c:pt idx="5">
                  <c:v>61000</c:v>
                </c:pt>
                <c:pt idx="10">
                  <c:v>33000</c:v>
                </c:pt>
                <c:pt idx="19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0-4A8D-B863-EEC8D2F1D6CD}"/>
            </c:ext>
          </c:extLst>
        </c:ser>
        <c:ser>
          <c:idx val="1"/>
          <c:order val="1"/>
          <c:tx>
            <c:strRef>
              <c:f>'4-Analys by pivot table'!$C$16:$C$17</c:f>
              <c:strCache>
                <c:ptCount val="1"/>
                <c:pt idx="0">
                  <c:v>North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'4-Analys by pivot table'!$A$18:$A$38</c:f>
              <c:strCache>
                <c:ptCount val="20"/>
                <c:pt idx="0">
                  <c:v>Aishwarya</c:v>
                </c:pt>
                <c:pt idx="1">
                  <c:v>Ajay</c:v>
                </c:pt>
                <c:pt idx="2">
                  <c:v>Ananya</c:v>
                </c:pt>
                <c:pt idx="3">
                  <c:v>Arjun</c:v>
                </c:pt>
                <c:pt idx="4">
                  <c:v>Divya</c:v>
                </c:pt>
                <c:pt idx="5">
                  <c:v>Harish</c:v>
                </c:pt>
                <c:pt idx="6">
                  <c:v>Kavya</c:v>
                </c:pt>
                <c:pt idx="7">
                  <c:v>Kiran</c:v>
                </c:pt>
                <c:pt idx="8">
                  <c:v>Manish</c:v>
                </c:pt>
                <c:pt idx="9">
                  <c:v>Meena</c:v>
                </c:pt>
                <c:pt idx="10">
                  <c:v>Naveen</c:v>
                </c:pt>
                <c:pt idx="11">
                  <c:v>Neha</c:v>
                </c:pt>
                <c:pt idx="12">
                  <c:v>Pooja</c:v>
                </c:pt>
                <c:pt idx="13">
                  <c:v>Priya</c:v>
                </c:pt>
                <c:pt idx="14">
                  <c:v>Rahul</c:v>
                </c:pt>
                <c:pt idx="15">
                  <c:v>Rohan</c:v>
                </c:pt>
                <c:pt idx="16">
                  <c:v>Sanjay</c:v>
                </c:pt>
                <c:pt idx="17">
                  <c:v>Sneha</c:v>
                </c:pt>
                <c:pt idx="18">
                  <c:v>Swathi</c:v>
                </c:pt>
                <c:pt idx="19">
                  <c:v>Vikram</c:v>
                </c:pt>
              </c:strCache>
            </c:strRef>
          </c:cat>
          <c:val>
            <c:numRef>
              <c:f>'4-Analys by pivot table'!$C$18:$C$38</c:f>
              <c:numCache>
                <c:formatCode>General</c:formatCode>
                <c:ptCount val="20"/>
                <c:pt idx="0">
                  <c:v>48000</c:v>
                </c:pt>
                <c:pt idx="2">
                  <c:v>28000</c:v>
                </c:pt>
                <c:pt idx="9">
                  <c:v>27000</c:v>
                </c:pt>
                <c:pt idx="14">
                  <c:v>75000</c:v>
                </c:pt>
                <c:pt idx="16">
                  <c:v>38000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90-4A8D-B863-EEC8D2F1D6CD}"/>
            </c:ext>
          </c:extLst>
        </c:ser>
        <c:ser>
          <c:idx val="2"/>
          <c:order val="2"/>
          <c:tx>
            <c:strRef>
              <c:f>'4-Analys by pivot table'!$D$16:$D$17</c:f>
              <c:strCache>
                <c:ptCount val="1"/>
                <c:pt idx="0">
                  <c:v>South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'4-Analys by pivot table'!$A$18:$A$38</c:f>
              <c:strCache>
                <c:ptCount val="20"/>
                <c:pt idx="0">
                  <c:v>Aishwarya</c:v>
                </c:pt>
                <c:pt idx="1">
                  <c:v>Ajay</c:v>
                </c:pt>
                <c:pt idx="2">
                  <c:v>Ananya</c:v>
                </c:pt>
                <c:pt idx="3">
                  <c:v>Arjun</c:v>
                </c:pt>
                <c:pt idx="4">
                  <c:v>Divya</c:v>
                </c:pt>
                <c:pt idx="5">
                  <c:v>Harish</c:v>
                </c:pt>
                <c:pt idx="6">
                  <c:v>Kavya</c:v>
                </c:pt>
                <c:pt idx="7">
                  <c:v>Kiran</c:v>
                </c:pt>
                <c:pt idx="8">
                  <c:v>Manish</c:v>
                </c:pt>
                <c:pt idx="9">
                  <c:v>Meena</c:v>
                </c:pt>
                <c:pt idx="10">
                  <c:v>Naveen</c:v>
                </c:pt>
                <c:pt idx="11">
                  <c:v>Neha</c:v>
                </c:pt>
                <c:pt idx="12">
                  <c:v>Pooja</c:v>
                </c:pt>
                <c:pt idx="13">
                  <c:v>Priya</c:v>
                </c:pt>
                <c:pt idx="14">
                  <c:v>Rahul</c:v>
                </c:pt>
                <c:pt idx="15">
                  <c:v>Rohan</c:v>
                </c:pt>
                <c:pt idx="16">
                  <c:v>Sanjay</c:v>
                </c:pt>
                <c:pt idx="17">
                  <c:v>Sneha</c:v>
                </c:pt>
                <c:pt idx="18">
                  <c:v>Swathi</c:v>
                </c:pt>
                <c:pt idx="19">
                  <c:v>Vikram</c:v>
                </c:pt>
              </c:strCache>
            </c:strRef>
          </c:cat>
          <c:val>
            <c:numRef>
              <c:f>'4-Analys by pivot table'!$D$18:$D$38</c:f>
              <c:numCache>
                <c:formatCode>General</c:formatCode>
                <c:ptCount val="20"/>
                <c:pt idx="6">
                  <c:v>105000</c:v>
                </c:pt>
                <c:pt idx="7">
                  <c:v>54000</c:v>
                </c:pt>
                <c:pt idx="13">
                  <c:v>45000</c:v>
                </c:pt>
                <c:pt idx="15">
                  <c:v>42000</c:v>
                </c:pt>
                <c:pt idx="18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90-4A8D-B863-EEC8D2F1D6CD}"/>
            </c:ext>
          </c:extLst>
        </c:ser>
        <c:ser>
          <c:idx val="3"/>
          <c:order val="3"/>
          <c:tx>
            <c:strRef>
              <c:f>'4-Analys by pivot table'!$E$16:$E$17</c:f>
              <c:strCache>
                <c:ptCount val="1"/>
                <c:pt idx="0">
                  <c:v>West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'4-Analys by pivot table'!$A$18:$A$38</c:f>
              <c:strCache>
                <c:ptCount val="20"/>
                <c:pt idx="0">
                  <c:v>Aishwarya</c:v>
                </c:pt>
                <c:pt idx="1">
                  <c:v>Ajay</c:v>
                </c:pt>
                <c:pt idx="2">
                  <c:v>Ananya</c:v>
                </c:pt>
                <c:pt idx="3">
                  <c:v>Arjun</c:v>
                </c:pt>
                <c:pt idx="4">
                  <c:v>Divya</c:v>
                </c:pt>
                <c:pt idx="5">
                  <c:v>Harish</c:v>
                </c:pt>
                <c:pt idx="6">
                  <c:v>Kavya</c:v>
                </c:pt>
                <c:pt idx="7">
                  <c:v>Kiran</c:v>
                </c:pt>
                <c:pt idx="8">
                  <c:v>Manish</c:v>
                </c:pt>
                <c:pt idx="9">
                  <c:v>Meena</c:v>
                </c:pt>
                <c:pt idx="10">
                  <c:v>Naveen</c:v>
                </c:pt>
                <c:pt idx="11">
                  <c:v>Neha</c:v>
                </c:pt>
                <c:pt idx="12">
                  <c:v>Pooja</c:v>
                </c:pt>
                <c:pt idx="13">
                  <c:v>Priya</c:v>
                </c:pt>
                <c:pt idx="14">
                  <c:v>Rahul</c:v>
                </c:pt>
                <c:pt idx="15">
                  <c:v>Rohan</c:v>
                </c:pt>
                <c:pt idx="16">
                  <c:v>Sanjay</c:v>
                </c:pt>
                <c:pt idx="17">
                  <c:v>Sneha</c:v>
                </c:pt>
                <c:pt idx="18">
                  <c:v>Swathi</c:v>
                </c:pt>
                <c:pt idx="19">
                  <c:v>Vikram</c:v>
                </c:pt>
              </c:strCache>
            </c:strRef>
          </c:cat>
          <c:val>
            <c:numRef>
              <c:f>'4-Analys by pivot table'!$E$18:$E$38</c:f>
              <c:numCache>
                <c:formatCode>General</c:formatCode>
                <c:ptCount val="20"/>
                <c:pt idx="4">
                  <c:v>32000</c:v>
                </c:pt>
                <c:pt idx="8">
                  <c:v>88000</c:v>
                </c:pt>
                <c:pt idx="11">
                  <c:v>132000</c:v>
                </c:pt>
                <c:pt idx="12">
                  <c:v>50000</c:v>
                </c:pt>
                <c:pt idx="17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90-4A8D-B863-EEC8D2F1D6C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54</xdr:row>
      <xdr:rowOff>35663</xdr:rowOff>
    </xdr:from>
    <xdr:to>
      <xdr:col>6</xdr:col>
      <xdr:colOff>24374</xdr:colOff>
      <xdr:row>68</xdr:row>
      <xdr:rowOff>174721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F85945-DB72-4FDA-D499-514A30FD6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72</xdr:row>
      <xdr:rowOff>15992</xdr:rowOff>
    </xdr:from>
    <xdr:to>
      <xdr:col>5</xdr:col>
      <xdr:colOff>638528</xdr:colOff>
      <xdr:row>87</xdr:row>
      <xdr:rowOff>25164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AFBB2B0-16BE-D1EE-779F-4822178EF9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22</xdr:row>
          <xdr:rowOff>177800</xdr:rowOff>
        </xdr:from>
        <xdr:to>
          <xdr:col>3</xdr:col>
          <xdr:colOff>57150</xdr:colOff>
          <xdr:row>24</xdr:row>
          <xdr:rowOff>63500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CB771428-78B4-91C3-E8E2-606073D79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99.643629745369" createdVersion="8" refreshedVersion="8" minRefreshableVersion="3" recordCount="20" xr:uid="{E4441D02-1455-48E9-B94C-943EC2FC3402}">
  <cacheSource type="worksheet">
    <worksheetSource ref="B2:O22" sheet="2-WHO CAN GET BONUS"/>
  </cacheSource>
  <cacheFields count="14">
    <cacheField name="Employee ID" numFmtId="0">
      <sharedItems/>
    </cacheField>
    <cacheField name="Employee Name" numFmtId="0">
      <sharedItems/>
    </cacheField>
    <cacheField name="Department" numFmtId="0">
      <sharedItems count="4">
        <s v="Sales"/>
        <s v="Marketing"/>
        <s v="HR"/>
        <s v="Finance"/>
      </sharedItems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 count="3">
        <s v="Laptop"/>
        <s v="Mobile"/>
        <s v="Tablet"/>
      </sharedItems>
    </cacheField>
    <cacheField name="Sales Amount" numFmtId="0">
      <sharedItems containsSemiMixedTypes="0" containsString="0" containsNumber="1" containsInteger="1" minValue="26000" maxValue="150000"/>
    </cacheField>
    <cacheField name="Quantity Sold" numFmtId="0">
      <sharedItems containsSemiMixedTypes="0" containsString="0" containsNumber="1" containsInteger="1" minValue="2" maxValue="7"/>
    </cacheField>
    <cacheField name="Selling Date" numFmtId="15">
      <sharedItems containsSemiMixedTypes="0" containsNonDate="0" containsDate="1" containsString="0" minDate="2026-01-05T00:00:00" maxDate="2026-03-01T00:00:00"/>
    </cacheField>
    <cacheField name="Payment Method" numFmtId="0">
      <sharedItems/>
    </cacheField>
    <cacheField name="Performance Rating" numFmtId="0">
      <sharedItems/>
    </cacheField>
    <cacheField name="Year of Joining" numFmtId="0">
      <sharedItems containsSemiMixedTypes="0" containsString="0" containsNumber="1" containsInteger="1" minValue="2020" maxValue="2026" count="4">
        <n v="2024"/>
        <n v="2023"/>
        <n v="2020"/>
        <n v="2026"/>
      </sharedItems>
    </cacheField>
    <cacheField name="Joining Date" numFmtId="15">
      <sharedItems containsSemiMixedTypes="0" containsNonDate="0" containsDate="1" containsString="0" minDate="2020-01-30T00:00:00" maxDate="2026-04-16T00:00:00"/>
    </cacheField>
    <cacheField name="Performance Status" numFmtId="0">
      <sharedItems/>
    </cacheField>
    <cacheField name="Eligible For Bonus" numFmtId="0">
      <sharedItems/>
    </cacheField>
  </cacheFields>
  <extLst>
    <ext xmlns:x14="http://schemas.microsoft.com/office/spreadsheetml/2009/9/main" uri="{725AE2AE-9491-48be-B2B4-4EB974FC3084}">
      <x14:pivotCacheDefinition pivotCacheId="10902586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99.645980439818" createdVersion="8" refreshedVersion="8" minRefreshableVersion="3" recordCount="20" xr:uid="{A4E57E65-40A0-42FF-B24C-867A1B0EB14A}">
  <cacheSource type="worksheet">
    <worksheetSource ref="B12:M32" sheet="Sheet1"/>
  </cacheSource>
  <cacheFields count="12">
    <cacheField name="Employee ID" numFmtId="0">
      <sharedItems count="20">
        <s v="E001"/>
        <s v="E002"/>
        <s v="E003"/>
        <s v="E004"/>
        <s v="E005"/>
        <s v="E006"/>
        <s v="E007"/>
        <s v="E008"/>
        <s v="E009"/>
        <s v="E010"/>
        <s v="E011"/>
        <s v="E012"/>
        <s v="E013"/>
        <s v="E014"/>
        <s v="E015"/>
        <s v="E016"/>
        <s v="E017"/>
        <s v="E018"/>
        <s v="E019"/>
        <s v="E020"/>
      </sharedItems>
    </cacheField>
    <cacheField name="Employee Name" numFmtId="0">
      <sharedItems count="20">
        <s v="Rahul"/>
        <s v="Priya"/>
        <s v="Arjun"/>
        <s v="Sneha"/>
        <s v="Kiran"/>
        <s v="Ananya"/>
        <s v="Vikram"/>
        <s v="Divya"/>
        <s v="Rohan"/>
        <s v="Meena"/>
        <s v="Ajay"/>
        <s v="Pooja"/>
        <s v="Sanjay"/>
        <s v="Kavya"/>
        <s v="Naveen"/>
        <s v="Aishwarya"/>
        <s v="Manish"/>
        <s v="Swathi"/>
        <s v="Harish"/>
        <s v="Neha"/>
      </sharedItems>
    </cacheField>
    <cacheField name="Department" numFmtId="0">
      <sharedItems count="4">
        <s v="Sales"/>
        <s v="Marketing"/>
        <s v="HR"/>
        <s v="Finance"/>
      </sharedItems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/>
    </cacheField>
    <cacheField name="Sales Amount" numFmtId="0">
      <sharedItems containsSemiMixedTypes="0" containsString="0" containsNumber="1" containsInteger="1" minValue="26000" maxValue="150000"/>
    </cacheField>
    <cacheField name="Quantity Sold" numFmtId="0">
      <sharedItems containsSemiMixedTypes="0" containsString="0" containsNumber="1" containsInteger="1" minValue="2" maxValue="7"/>
    </cacheField>
    <cacheField name="Selling Date" numFmtId="15">
      <sharedItems containsSemiMixedTypes="0" containsNonDate="0" containsDate="1" containsString="0" minDate="2026-01-05T00:00:00" maxDate="2026-03-01T00:00:00"/>
    </cacheField>
    <cacheField name="Payment Method" numFmtId="0">
      <sharedItems/>
    </cacheField>
    <cacheField name="Performance Rating" numFmtId="0">
      <sharedItems/>
    </cacheField>
    <cacheField name="Year of Joining" numFmtId="0">
      <sharedItems containsSemiMixedTypes="0" containsString="0" containsNumber="1" containsInteger="1" minValue="2020" maxValue="2026"/>
    </cacheField>
    <cacheField name="Joining Date" numFmtId="15">
      <sharedItems containsSemiMixedTypes="0" containsNonDate="0" containsDate="1" containsString="0" minDate="2020-01-30T00:00:00" maxDate="2026-04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E001"/>
    <s v="Rahul"/>
    <x v="0"/>
    <x v="0"/>
    <x v="0"/>
    <n v="75000"/>
    <n v="3"/>
    <d v="2026-01-05T00:00:00"/>
    <s v="UPI"/>
    <s v="Excellent"/>
    <x v="0"/>
    <d v="2024-06-15T00:00:00"/>
    <s v="A"/>
    <s v="Eligible"/>
  </r>
  <r>
    <s v="E002"/>
    <s v="Priya"/>
    <x v="1"/>
    <x v="1"/>
    <x v="1"/>
    <n v="45000"/>
    <n v="5"/>
    <d v="2026-01-07T00:00:00"/>
    <s v="Credit Card"/>
    <s v="Good"/>
    <x v="1"/>
    <d v="2023-08-10T00:00:00"/>
    <s v="B"/>
    <s v="NA"/>
  </r>
  <r>
    <s v="E003"/>
    <s v="Arjun"/>
    <x v="0"/>
    <x v="2"/>
    <x v="2"/>
    <n v="36000"/>
    <n v="4"/>
    <d v="2026-01-10T00:00:00"/>
    <s v="Cash"/>
    <s v="Average"/>
    <x v="2"/>
    <d v="2020-02-22T00:00:00"/>
    <s v="C"/>
    <s v="NA"/>
  </r>
  <r>
    <s v="E004"/>
    <s v="Sneha"/>
    <x v="2"/>
    <x v="3"/>
    <x v="0"/>
    <n v="90000"/>
    <n v="2"/>
    <d v="2026-01-12T00:00:00"/>
    <s v="UPI"/>
    <s v="Excellent"/>
    <x v="3"/>
    <d v="2026-01-05T00:00:00"/>
    <s v="A"/>
    <s v="Eligible"/>
  </r>
  <r>
    <s v="E005"/>
    <s v="Kiran"/>
    <x v="0"/>
    <x v="1"/>
    <x v="1"/>
    <n v="54000"/>
    <n v="6"/>
    <d v="2026-01-15T00:00:00"/>
    <s v="Debit Card"/>
    <s v="Good"/>
    <x v="0"/>
    <d v="2024-09-18T00:00:00"/>
    <s v="B"/>
    <s v="NA"/>
  </r>
  <r>
    <s v="E006"/>
    <s v="Ananya"/>
    <x v="3"/>
    <x v="0"/>
    <x v="2"/>
    <n v="28000"/>
    <n v="3"/>
    <d v="2026-01-18T00:00:00"/>
    <s v="UPI"/>
    <s v="Average"/>
    <x v="1"/>
    <d v="2023-03-25T00:00:00"/>
    <s v="C"/>
    <s v="NA"/>
  </r>
  <r>
    <s v="E007"/>
    <s v="Vikram"/>
    <x v="1"/>
    <x v="2"/>
    <x v="0"/>
    <n v="120000"/>
    <n v="4"/>
    <d v="2026-01-20T00:00:00"/>
    <s v="Credit Card"/>
    <s v="Excellent"/>
    <x v="2"/>
    <d v="2020-07-12T00:00:00"/>
    <s v="A"/>
    <s v="Eligible"/>
  </r>
  <r>
    <s v="E008"/>
    <s v="Divya"/>
    <x v="0"/>
    <x v="3"/>
    <x v="1"/>
    <n v="32000"/>
    <n v="4"/>
    <d v="2026-01-23T00:00:00"/>
    <s v="Cash"/>
    <s v="Good"/>
    <x v="3"/>
    <d v="2026-02-20T00:00:00"/>
    <s v="B"/>
    <s v="NA"/>
  </r>
  <r>
    <s v="E009"/>
    <s v="Rohan"/>
    <x v="3"/>
    <x v="1"/>
    <x v="2"/>
    <n v="42000"/>
    <n v="5"/>
    <d v="2026-01-25T00:00:00"/>
    <s v="UPI"/>
    <s v="Good"/>
    <x v="0"/>
    <d v="2024-11-08T00:00:00"/>
    <s v="B"/>
    <s v="NA"/>
  </r>
  <r>
    <s v="E010"/>
    <s v="Meena"/>
    <x v="2"/>
    <x v="0"/>
    <x v="1"/>
    <n v="27000"/>
    <n v="3"/>
    <d v="2026-01-28T00:00:00"/>
    <s v="Debit Card"/>
    <s v="Average"/>
    <x v="1"/>
    <d v="2023-05-14T00:00:00"/>
    <s v="C"/>
    <s v="NA"/>
  </r>
  <r>
    <s v="E011"/>
    <s v="Ajay"/>
    <x v="0"/>
    <x v="2"/>
    <x v="0"/>
    <n v="150000"/>
    <n v="5"/>
    <d v="2026-02-02T00:00:00"/>
    <s v="Credit Card"/>
    <s v="Excellent"/>
    <x v="2"/>
    <d v="2020-01-30T00:00:00"/>
    <s v="A"/>
    <s v="Eligible"/>
  </r>
  <r>
    <s v="E012"/>
    <s v="Pooja"/>
    <x v="1"/>
    <x v="3"/>
    <x v="2"/>
    <n v="50000"/>
    <n v="6"/>
    <d v="2026-02-05T00:00:00"/>
    <s v="UPI"/>
    <s v="Good"/>
    <x v="0"/>
    <d v="2024-07-16T00:00:00"/>
    <s v="B"/>
    <s v="NA"/>
  </r>
  <r>
    <s v="E013"/>
    <s v="Sanjay"/>
    <x v="3"/>
    <x v="0"/>
    <x v="1"/>
    <n v="38000"/>
    <n v="4"/>
    <d v="2026-02-08T00:00:00"/>
    <s v="Cash"/>
    <s v="Average"/>
    <x v="3"/>
    <d v="2026-03-03T00:00:00"/>
    <s v="C"/>
    <s v="NA"/>
  </r>
  <r>
    <s v="E014"/>
    <s v="Kavya"/>
    <x v="0"/>
    <x v="1"/>
    <x v="0"/>
    <n v="105000"/>
    <n v="3"/>
    <d v="2026-02-11T00:00:00"/>
    <s v="UPI"/>
    <s v="Excellent"/>
    <x v="1"/>
    <d v="2023-10-21T00:00:00"/>
    <s v="A"/>
    <s v="Eligible"/>
  </r>
  <r>
    <s v="E015"/>
    <s v="Naveen"/>
    <x v="2"/>
    <x v="2"/>
    <x v="2"/>
    <n v="33000"/>
    <n v="3"/>
    <d v="2026-02-14T00:00:00"/>
    <s v="Debit Card"/>
    <s v="Good"/>
    <x v="2"/>
    <d v="2020-09-11T00:00:00"/>
    <s v="B"/>
    <s v="NA"/>
  </r>
  <r>
    <s v="E016"/>
    <s v="Aishwarya"/>
    <x v="1"/>
    <x v="0"/>
    <x v="1"/>
    <n v="48000"/>
    <n v="5"/>
    <d v="2026-02-17T00:00:00"/>
    <s v="Credit Card"/>
    <s v="Good"/>
    <x v="0"/>
    <d v="2024-04-27T00:00:00"/>
    <s v="B"/>
    <s v="NA"/>
  </r>
  <r>
    <s v="E017"/>
    <s v="Manish"/>
    <x v="0"/>
    <x v="3"/>
    <x v="0"/>
    <n v="88000"/>
    <n v="2"/>
    <d v="2026-02-20T00:00:00"/>
    <s v="UPI"/>
    <s v="Excellent"/>
    <x v="1"/>
    <d v="2023-06-06T00:00:00"/>
    <s v="A"/>
    <s v="Eligible"/>
  </r>
  <r>
    <s v="E018"/>
    <s v="Swathi"/>
    <x v="3"/>
    <x v="1"/>
    <x v="2"/>
    <n v="26000"/>
    <n v="2"/>
    <d v="2026-02-23T00:00:00"/>
    <s v="Cash"/>
    <s v="Average"/>
    <x v="2"/>
    <d v="2020-12-19T00:00:00"/>
    <s v="C"/>
    <s v="NA"/>
  </r>
  <r>
    <s v="E019"/>
    <s v="Harish"/>
    <x v="0"/>
    <x v="2"/>
    <x v="1"/>
    <n v="61000"/>
    <n v="7"/>
    <d v="2026-02-25T00:00:00"/>
    <s v="Debit Card"/>
    <s v="Good"/>
    <x v="3"/>
    <d v="2026-04-15T00:00:00"/>
    <s v="B"/>
    <s v="NA"/>
  </r>
  <r>
    <s v="E020"/>
    <s v="Neha"/>
    <x v="1"/>
    <x v="3"/>
    <x v="0"/>
    <n v="132000"/>
    <n v="4"/>
    <d v="2026-02-28T00:00:00"/>
    <s v="UPI"/>
    <s v="Excellent"/>
    <x v="0"/>
    <d v="2024-10-09T00:00:00"/>
    <s v="A"/>
    <s v="Eligibl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Laptop"/>
    <n v="75000"/>
    <n v="3"/>
    <d v="2026-01-05T00:00:00"/>
    <s v="UPI"/>
    <s v="Excellent"/>
    <n v="2024"/>
    <d v="2024-06-15T00:00:00"/>
  </r>
  <r>
    <x v="1"/>
    <x v="1"/>
    <x v="1"/>
    <x v="1"/>
    <s v="Mobile"/>
    <n v="45000"/>
    <n v="5"/>
    <d v="2026-01-07T00:00:00"/>
    <s v="Credit Card"/>
    <s v="Good"/>
    <n v="2023"/>
    <d v="2023-08-10T00:00:00"/>
  </r>
  <r>
    <x v="2"/>
    <x v="2"/>
    <x v="0"/>
    <x v="2"/>
    <s v="Tablet"/>
    <n v="36000"/>
    <n v="4"/>
    <d v="2026-01-10T00:00:00"/>
    <s v="Cash"/>
    <s v="Average"/>
    <n v="2020"/>
    <d v="2020-02-22T00:00:00"/>
  </r>
  <r>
    <x v="3"/>
    <x v="3"/>
    <x v="2"/>
    <x v="3"/>
    <s v="Laptop"/>
    <n v="90000"/>
    <n v="2"/>
    <d v="2026-01-12T00:00:00"/>
    <s v="UPI"/>
    <s v="Excellent"/>
    <n v="2026"/>
    <d v="2026-01-05T00:00:00"/>
  </r>
  <r>
    <x v="4"/>
    <x v="4"/>
    <x v="0"/>
    <x v="1"/>
    <s v="Mobile"/>
    <n v="54000"/>
    <n v="6"/>
    <d v="2026-01-15T00:00:00"/>
    <s v="Debit Card"/>
    <s v="Good"/>
    <n v="2024"/>
    <d v="2024-09-18T00:00:00"/>
  </r>
  <r>
    <x v="5"/>
    <x v="5"/>
    <x v="3"/>
    <x v="0"/>
    <s v="Tablet"/>
    <n v="28000"/>
    <n v="3"/>
    <d v="2026-01-18T00:00:00"/>
    <s v="UPI"/>
    <s v="Average"/>
    <n v="2023"/>
    <d v="2023-03-25T00:00:00"/>
  </r>
  <r>
    <x v="6"/>
    <x v="6"/>
    <x v="1"/>
    <x v="2"/>
    <s v="Laptop"/>
    <n v="120000"/>
    <n v="4"/>
    <d v="2026-01-20T00:00:00"/>
    <s v="Credit Card"/>
    <s v="Excellent"/>
    <n v="2020"/>
    <d v="2020-07-12T00:00:00"/>
  </r>
  <r>
    <x v="7"/>
    <x v="7"/>
    <x v="0"/>
    <x v="3"/>
    <s v="Mobile"/>
    <n v="32000"/>
    <n v="4"/>
    <d v="2026-01-23T00:00:00"/>
    <s v="Cash"/>
    <s v="Good"/>
    <n v="2026"/>
    <d v="2026-02-20T00:00:00"/>
  </r>
  <r>
    <x v="8"/>
    <x v="8"/>
    <x v="3"/>
    <x v="1"/>
    <s v="Tablet"/>
    <n v="42000"/>
    <n v="5"/>
    <d v="2026-01-25T00:00:00"/>
    <s v="UPI"/>
    <s v="Good"/>
    <n v="2024"/>
    <d v="2024-11-08T00:00:00"/>
  </r>
  <r>
    <x v="9"/>
    <x v="9"/>
    <x v="2"/>
    <x v="0"/>
    <s v="Mobile"/>
    <n v="27000"/>
    <n v="3"/>
    <d v="2026-01-28T00:00:00"/>
    <s v="Debit Card"/>
    <s v="Average"/>
    <n v="2023"/>
    <d v="2023-05-14T00:00:00"/>
  </r>
  <r>
    <x v="10"/>
    <x v="10"/>
    <x v="0"/>
    <x v="2"/>
    <s v="Laptop"/>
    <n v="150000"/>
    <n v="5"/>
    <d v="2026-02-02T00:00:00"/>
    <s v="Credit Card"/>
    <s v="Excellent"/>
    <n v="2020"/>
    <d v="2020-01-30T00:00:00"/>
  </r>
  <r>
    <x v="11"/>
    <x v="11"/>
    <x v="1"/>
    <x v="3"/>
    <s v="Tablet"/>
    <n v="50000"/>
    <n v="6"/>
    <d v="2026-02-05T00:00:00"/>
    <s v="UPI"/>
    <s v="Good"/>
    <n v="2024"/>
    <d v="2024-07-16T00:00:00"/>
  </r>
  <r>
    <x v="12"/>
    <x v="12"/>
    <x v="3"/>
    <x v="0"/>
    <s v="Mobile"/>
    <n v="38000"/>
    <n v="4"/>
    <d v="2026-02-08T00:00:00"/>
    <s v="Cash"/>
    <s v="Average"/>
    <n v="2026"/>
    <d v="2026-03-03T00:00:00"/>
  </r>
  <r>
    <x v="13"/>
    <x v="13"/>
    <x v="0"/>
    <x v="1"/>
    <s v="Laptop"/>
    <n v="105000"/>
    <n v="3"/>
    <d v="2026-02-11T00:00:00"/>
    <s v="UPI"/>
    <s v="Excellent"/>
    <n v="2023"/>
    <d v="2023-10-21T00:00:00"/>
  </r>
  <r>
    <x v="14"/>
    <x v="14"/>
    <x v="2"/>
    <x v="2"/>
    <s v="Tablet"/>
    <n v="33000"/>
    <n v="3"/>
    <d v="2026-02-14T00:00:00"/>
    <s v="Debit Card"/>
    <s v="Good"/>
    <n v="2020"/>
    <d v="2020-09-11T00:00:00"/>
  </r>
  <r>
    <x v="15"/>
    <x v="15"/>
    <x v="1"/>
    <x v="0"/>
    <s v="Mobile"/>
    <n v="48000"/>
    <n v="5"/>
    <d v="2026-02-17T00:00:00"/>
    <s v="Credit Card"/>
    <s v="Good"/>
    <n v="2024"/>
    <d v="2024-04-27T00:00:00"/>
  </r>
  <r>
    <x v="16"/>
    <x v="16"/>
    <x v="0"/>
    <x v="3"/>
    <s v="Laptop"/>
    <n v="88000"/>
    <n v="2"/>
    <d v="2026-02-20T00:00:00"/>
    <s v="UPI"/>
    <s v="Excellent"/>
    <n v="2023"/>
    <d v="2023-06-06T00:00:00"/>
  </r>
  <r>
    <x v="17"/>
    <x v="17"/>
    <x v="3"/>
    <x v="1"/>
    <s v="Tablet"/>
    <n v="26000"/>
    <n v="2"/>
    <d v="2026-02-23T00:00:00"/>
    <s v="Cash"/>
    <s v="Average"/>
    <n v="2020"/>
    <d v="2020-12-19T00:00:00"/>
  </r>
  <r>
    <x v="18"/>
    <x v="18"/>
    <x v="0"/>
    <x v="2"/>
    <s v="Mobile"/>
    <n v="61000"/>
    <n v="7"/>
    <d v="2026-02-25T00:00:00"/>
    <s v="Debit Card"/>
    <s v="Good"/>
    <n v="2026"/>
    <d v="2026-04-15T00:00:00"/>
  </r>
  <r>
    <x v="19"/>
    <x v="19"/>
    <x v="1"/>
    <x v="3"/>
    <s v="Laptop"/>
    <n v="132000"/>
    <n v="4"/>
    <d v="2026-02-28T00:00:00"/>
    <s v="UPI"/>
    <s v="Excellent"/>
    <n v="2024"/>
    <d v="2024-10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AF2F87-70FC-406D-8841-ED7E43DB29C2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Pivot Chart based on table  2+A17:F38+A17:F38">
  <location ref="A16:F38" firstHeaderRow="1" firstDataRow="2" firstDataCol="1" rowPageCount="1" colPageCount="1"/>
  <pivotFields count="12"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21">
        <item x="15"/>
        <item x="10"/>
        <item x="5"/>
        <item x="2"/>
        <item x="7"/>
        <item x="18"/>
        <item x="13"/>
        <item x="4"/>
        <item x="16"/>
        <item x="9"/>
        <item x="14"/>
        <item x="19"/>
        <item x="11"/>
        <item x="1"/>
        <item x="0"/>
        <item x="8"/>
        <item x="12"/>
        <item x="3"/>
        <item x="17"/>
        <item x="6"/>
        <item t="default"/>
      </items>
    </pivotField>
    <pivotField axis="axisPage" multipleItemSelectionAllowed="1" showAll="0">
      <items count="5">
        <item x="3"/>
        <item x="2"/>
        <item x="1"/>
        <item x="0"/>
        <item t="default"/>
      </items>
    </pivotField>
    <pivotField axis="axisCol" showAll="0">
      <items count="5">
        <item x="2"/>
        <item x="0"/>
        <item x="1"/>
        <item x="3"/>
        <item t="default"/>
      </items>
    </pivotField>
    <pivotField showAll="0"/>
    <pivotField dataField="1" showAll="0"/>
    <pivotField showAll="0"/>
    <pivotField numFmtId="15" showAll="0"/>
    <pivotField showAll="0"/>
    <pivotField showAll="0"/>
    <pivotField showAll="0"/>
    <pivotField numFmtId="15"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Sum of Sales Amount" fld="5" baseField="0" baseItem="0"/>
  </dataFields>
  <formats count="1">
    <format dxfId="1">
      <pivotArea type="all" dataOnly="0" outline="0" fieldPosition="0"/>
    </format>
  </format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A9C46-6BFE-4EF8-83EA-1296B6ADA29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25">
  <location ref="A5:C10" firstHeaderRow="1" firstDataRow="2" firstDataCol="1" rowPageCount="1" colPageCount="1"/>
  <pivotFields count="14">
    <pivotField compact="0" outline="0" showAll="0"/>
    <pivotField compact="0" outline="0" showAll="0"/>
    <pivotField axis="axisPage" compact="0" outline="0" showAll="0">
      <items count="5">
        <item x="3"/>
        <item x="2"/>
        <item x="1"/>
        <item x="0"/>
        <item t="default"/>
      </items>
    </pivotField>
    <pivotField axis="axisCol" compact="0" outline="0" showAll="0">
      <items count="5">
        <item x="2"/>
        <item h="1" x="0"/>
        <item h="1" x="1"/>
        <item h="1" x="3"/>
        <item t="default"/>
      </items>
    </pivotField>
    <pivotField axis="axisRow" compact="0" outline="0" showAll="0">
      <items count="4">
        <item x="0"/>
        <item x="1"/>
        <item x="2"/>
        <item t="default"/>
      </items>
    </pivotField>
    <pivotField dataField="1" compact="0" outline="0" showAll="0"/>
    <pivotField compact="0" outline="0" showAll="0"/>
    <pivotField compact="0" numFmtId="15" outline="0" showAll="0"/>
    <pivotField compact="0" outline="0" showAll="0"/>
    <pivotField compact="0" outline="0" showAll="0"/>
    <pivotField compact="0" outline="0" showAll="0"/>
    <pivotField compact="0" numFmtId="15" outline="0" showAll="0"/>
    <pivotField compact="0" outline="0" showAll="0"/>
    <pivotField compact="0" outline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3"/>
  </colFields>
  <colItems count="2">
    <i>
      <x/>
    </i>
    <i t="grand">
      <x/>
    </i>
  </colItems>
  <pageFields count="1">
    <pageField fld="2" hier="-1"/>
  </pageFields>
  <dataFields count="1">
    <dataField name="Sum of Sales Amount" fld="5" baseField="0" baseItem="0"/>
  </dataFields>
  <formats count="1">
    <format dxfId="0">
      <pivotArea type="all" dataOnly="0" outline="0" fieldPosition="0"/>
    </format>
  </format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1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11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1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1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1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87DE-CCF8-4326-A3E0-79DD01578E27}">
  <dimension ref="B2:M30"/>
  <sheetViews>
    <sheetView workbookViewId="0">
      <selection activeCell="K7" sqref="K7"/>
    </sheetView>
  </sheetViews>
  <sheetFormatPr defaultRowHeight="23.5" customHeight="1" x14ac:dyDescent="0.35"/>
  <cols>
    <col min="2" max="2" width="11.26953125" bestFit="1" customWidth="1"/>
    <col min="3" max="3" width="14.453125" bestFit="1" customWidth="1"/>
    <col min="4" max="4" width="11.08984375" bestFit="1" customWidth="1"/>
    <col min="5" max="5" width="6.453125" bestFit="1" customWidth="1"/>
    <col min="6" max="6" width="7.453125" bestFit="1" customWidth="1"/>
    <col min="7" max="7" width="12.26953125" bestFit="1" customWidth="1"/>
    <col min="8" max="8" width="12.1796875" bestFit="1" customWidth="1"/>
    <col min="9" max="9" width="10.54296875" bestFit="1" customWidth="1"/>
    <col min="10" max="10" width="15.54296875" bestFit="1" customWidth="1"/>
    <col min="11" max="11" width="17.54296875" bestFit="1" customWidth="1"/>
    <col min="12" max="12" width="13" bestFit="1" customWidth="1"/>
    <col min="13" max="13" width="11" bestFit="1" customWidth="1"/>
    <col min="14" max="15" width="8.7265625" customWidth="1"/>
  </cols>
  <sheetData>
    <row r="2" spans="2:13" ht="23.5" customHeight="1" x14ac:dyDescent="0.35">
      <c r="B2" s="4" t="s">
        <v>10</v>
      </c>
      <c r="C2" s="4" t="s">
        <v>0</v>
      </c>
      <c r="D2" s="4" t="s">
        <v>1</v>
      </c>
      <c r="E2" s="4" t="s">
        <v>2</v>
      </c>
      <c r="F2" s="4" t="s">
        <v>11</v>
      </c>
      <c r="G2" s="5" t="s">
        <v>3</v>
      </c>
      <c r="H2" s="5" t="s">
        <v>12</v>
      </c>
      <c r="I2" s="4" t="s">
        <v>13</v>
      </c>
      <c r="J2" s="4" t="s">
        <v>14</v>
      </c>
      <c r="K2" s="4" t="s">
        <v>4</v>
      </c>
      <c r="L2" s="5" t="s">
        <v>15</v>
      </c>
      <c r="M2" s="4" t="s">
        <v>16</v>
      </c>
    </row>
    <row r="3" spans="2:13" ht="23.5" customHeight="1" x14ac:dyDescent="0.35">
      <c r="B3" s="1" t="s">
        <v>17</v>
      </c>
      <c r="C3" s="1" t="s">
        <v>18</v>
      </c>
      <c r="D3" s="1" t="s">
        <v>19</v>
      </c>
      <c r="E3" s="1" t="s">
        <v>20</v>
      </c>
      <c r="F3" s="1" t="s">
        <v>21</v>
      </c>
      <c r="G3" s="2">
        <v>75000</v>
      </c>
      <c r="H3" s="2">
        <v>3</v>
      </c>
      <c r="I3" s="3">
        <v>46027</v>
      </c>
      <c r="J3" s="1" t="s">
        <v>22</v>
      </c>
      <c r="K3" s="1" t="s">
        <v>23</v>
      </c>
      <c r="L3" s="2">
        <v>2024</v>
      </c>
      <c r="M3" s="3">
        <v>45458</v>
      </c>
    </row>
    <row r="4" spans="2:13" ht="23.5" customHeight="1" x14ac:dyDescent="0.35">
      <c r="B4" s="1" t="s">
        <v>24</v>
      </c>
      <c r="C4" s="1" t="s">
        <v>25</v>
      </c>
      <c r="D4" s="1" t="s">
        <v>26</v>
      </c>
      <c r="E4" s="1" t="s">
        <v>27</v>
      </c>
      <c r="F4" s="1" t="s">
        <v>28</v>
      </c>
      <c r="G4" s="2">
        <v>45000</v>
      </c>
      <c r="H4" s="2">
        <v>5</v>
      </c>
      <c r="I4" s="3">
        <v>46029</v>
      </c>
      <c r="J4" s="1" t="s">
        <v>29</v>
      </c>
      <c r="K4" s="1" t="s">
        <v>30</v>
      </c>
      <c r="L4" s="2">
        <v>2023</v>
      </c>
      <c r="M4" s="3">
        <v>45148</v>
      </c>
    </row>
    <row r="5" spans="2:13" ht="23.5" customHeight="1" x14ac:dyDescent="0.35">
      <c r="B5" s="1" t="s">
        <v>31</v>
      </c>
      <c r="C5" s="1" t="s">
        <v>32</v>
      </c>
      <c r="D5" s="1" t="s">
        <v>19</v>
      </c>
      <c r="E5" s="1" t="s">
        <v>33</v>
      </c>
      <c r="F5" s="1" t="s">
        <v>34</v>
      </c>
      <c r="G5" s="2">
        <v>36000</v>
      </c>
      <c r="H5" s="2">
        <v>4</v>
      </c>
      <c r="I5" s="3">
        <v>46032</v>
      </c>
      <c r="J5" s="1" t="s">
        <v>35</v>
      </c>
      <c r="K5" s="1" t="s">
        <v>36</v>
      </c>
      <c r="L5" s="2">
        <v>2020</v>
      </c>
      <c r="M5" s="3">
        <v>43883</v>
      </c>
    </row>
    <row r="6" spans="2:13" ht="23.5" customHeight="1" x14ac:dyDescent="0.35">
      <c r="B6" s="1" t="s">
        <v>37</v>
      </c>
      <c r="C6" s="1" t="s">
        <v>38</v>
      </c>
      <c r="D6" s="1" t="s">
        <v>39</v>
      </c>
      <c r="E6" s="1" t="s">
        <v>40</v>
      </c>
      <c r="F6" s="1" t="s">
        <v>21</v>
      </c>
      <c r="G6" s="2">
        <v>90000</v>
      </c>
      <c r="H6" s="2">
        <v>2</v>
      </c>
      <c r="I6" s="3">
        <v>46034</v>
      </c>
      <c r="J6" s="1" t="s">
        <v>22</v>
      </c>
      <c r="K6" s="1" t="s">
        <v>23</v>
      </c>
      <c r="L6" s="2">
        <v>2026</v>
      </c>
      <c r="M6" s="3">
        <v>46027</v>
      </c>
    </row>
    <row r="7" spans="2:13" ht="23.5" customHeight="1" x14ac:dyDescent="0.35">
      <c r="B7" s="1" t="s">
        <v>41</v>
      </c>
      <c r="C7" s="1" t="s">
        <v>42</v>
      </c>
      <c r="D7" s="1" t="s">
        <v>19</v>
      </c>
      <c r="E7" s="1" t="s">
        <v>27</v>
      </c>
      <c r="F7" s="1" t="s">
        <v>28</v>
      </c>
      <c r="G7" s="2">
        <v>54000</v>
      </c>
      <c r="H7" s="2">
        <v>6</v>
      </c>
      <c r="I7" s="3">
        <v>46037</v>
      </c>
      <c r="J7" s="1" t="s">
        <v>43</v>
      </c>
      <c r="K7" s="1" t="s">
        <v>30</v>
      </c>
      <c r="L7" s="2">
        <v>2024</v>
      </c>
      <c r="M7" s="3">
        <v>45553</v>
      </c>
    </row>
    <row r="8" spans="2:13" ht="23.5" customHeight="1" x14ac:dyDescent="0.35">
      <c r="B8" s="1" t="s">
        <v>44</v>
      </c>
      <c r="C8" s="1" t="s">
        <v>45</v>
      </c>
      <c r="D8" s="1" t="s">
        <v>46</v>
      </c>
      <c r="E8" s="1" t="s">
        <v>20</v>
      </c>
      <c r="F8" s="1" t="s">
        <v>34</v>
      </c>
      <c r="G8" s="2">
        <v>28000</v>
      </c>
      <c r="H8" s="2">
        <v>3</v>
      </c>
      <c r="I8" s="3">
        <v>46040</v>
      </c>
      <c r="J8" s="1" t="s">
        <v>22</v>
      </c>
      <c r="K8" s="1" t="s">
        <v>36</v>
      </c>
      <c r="L8" s="2">
        <v>2023</v>
      </c>
      <c r="M8" s="3">
        <v>45010</v>
      </c>
    </row>
    <row r="9" spans="2:13" ht="23.5" customHeight="1" x14ac:dyDescent="0.35">
      <c r="B9" s="1" t="s">
        <v>47</v>
      </c>
      <c r="C9" s="1" t="s">
        <v>48</v>
      </c>
      <c r="D9" s="1" t="s">
        <v>26</v>
      </c>
      <c r="E9" s="1" t="s">
        <v>33</v>
      </c>
      <c r="F9" s="1" t="s">
        <v>21</v>
      </c>
      <c r="G9" s="2">
        <v>120000</v>
      </c>
      <c r="H9" s="2">
        <v>4</v>
      </c>
      <c r="I9" s="3">
        <v>46042</v>
      </c>
      <c r="J9" s="1" t="s">
        <v>29</v>
      </c>
      <c r="K9" s="1" t="s">
        <v>23</v>
      </c>
      <c r="L9" s="2">
        <v>2020</v>
      </c>
      <c r="M9" s="3">
        <v>44024</v>
      </c>
    </row>
    <row r="10" spans="2:13" ht="23.5" customHeight="1" x14ac:dyDescent="0.35">
      <c r="B10" s="1" t="s">
        <v>49</v>
      </c>
      <c r="C10" s="1" t="s">
        <v>50</v>
      </c>
      <c r="D10" s="1" t="s">
        <v>19</v>
      </c>
      <c r="E10" s="1" t="s">
        <v>40</v>
      </c>
      <c r="F10" s="1" t="s">
        <v>28</v>
      </c>
      <c r="G10" s="2">
        <v>32000</v>
      </c>
      <c r="H10" s="2">
        <v>4</v>
      </c>
      <c r="I10" s="3">
        <v>46045</v>
      </c>
      <c r="J10" s="1" t="s">
        <v>35</v>
      </c>
      <c r="K10" s="1" t="s">
        <v>30</v>
      </c>
      <c r="L10" s="2">
        <v>2026</v>
      </c>
      <c r="M10" s="3">
        <v>46073</v>
      </c>
    </row>
    <row r="11" spans="2:13" ht="23.5" customHeight="1" x14ac:dyDescent="0.35">
      <c r="B11" s="1" t="s">
        <v>51</v>
      </c>
      <c r="C11" s="1" t="s">
        <v>52</v>
      </c>
      <c r="D11" s="1" t="s">
        <v>46</v>
      </c>
      <c r="E11" s="1" t="s">
        <v>27</v>
      </c>
      <c r="F11" s="1" t="s">
        <v>34</v>
      </c>
      <c r="G11" s="2">
        <v>42000</v>
      </c>
      <c r="H11" s="2">
        <v>5</v>
      </c>
      <c r="I11" s="3">
        <v>46047</v>
      </c>
      <c r="J11" s="1" t="s">
        <v>22</v>
      </c>
      <c r="K11" s="1" t="s">
        <v>30</v>
      </c>
      <c r="L11" s="2">
        <v>2024</v>
      </c>
      <c r="M11" s="3">
        <v>45604</v>
      </c>
    </row>
    <row r="12" spans="2:13" ht="23.5" customHeight="1" x14ac:dyDescent="0.35">
      <c r="B12" s="1" t="s">
        <v>53</v>
      </c>
      <c r="C12" s="1" t="s">
        <v>54</v>
      </c>
      <c r="D12" s="1" t="s">
        <v>39</v>
      </c>
      <c r="E12" s="1" t="s">
        <v>20</v>
      </c>
      <c r="F12" s="1" t="s">
        <v>28</v>
      </c>
      <c r="G12" s="2">
        <v>27000</v>
      </c>
      <c r="H12" s="2">
        <v>3</v>
      </c>
      <c r="I12" s="3">
        <v>46050</v>
      </c>
      <c r="J12" s="1" t="s">
        <v>43</v>
      </c>
      <c r="K12" s="1" t="s">
        <v>36</v>
      </c>
      <c r="L12" s="2">
        <v>2023</v>
      </c>
      <c r="M12" s="3">
        <v>45060</v>
      </c>
    </row>
    <row r="13" spans="2:13" ht="23.5" customHeight="1" x14ac:dyDescent="0.35">
      <c r="B13" s="1" t="s">
        <v>55</v>
      </c>
      <c r="C13" s="1" t="s">
        <v>56</v>
      </c>
      <c r="D13" s="1" t="s">
        <v>19</v>
      </c>
      <c r="E13" s="1" t="s">
        <v>33</v>
      </c>
      <c r="F13" s="1" t="s">
        <v>21</v>
      </c>
      <c r="G13" s="2">
        <v>150000</v>
      </c>
      <c r="H13" s="2">
        <v>5</v>
      </c>
      <c r="I13" s="3">
        <v>46055</v>
      </c>
      <c r="J13" s="1" t="s">
        <v>29</v>
      </c>
      <c r="K13" s="1" t="s">
        <v>23</v>
      </c>
      <c r="L13" s="2">
        <v>2020</v>
      </c>
      <c r="M13" s="3">
        <v>43860</v>
      </c>
    </row>
    <row r="14" spans="2:13" ht="23.5" customHeight="1" x14ac:dyDescent="0.35">
      <c r="B14" s="1" t="s">
        <v>57</v>
      </c>
      <c r="C14" s="1" t="s">
        <v>58</v>
      </c>
      <c r="D14" s="1" t="s">
        <v>26</v>
      </c>
      <c r="E14" s="1" t="s">
        <v>40</v>
      </c>
      <c r="F14" s="1" t="s">
        <v>34</v>
      </c>
      <c r="G14" s="2">
        <v>50000</v>
      </c>
      <c r="H14" s="2">
        <v>6</v>
      </c>
      <c r="I14" s="3">
        <v>46058</v>
      </c>
      <c r="J14" s="1" t="s">
        <v>22</v>
      </c>
      <c r="K14" s="1" t="s">
        <v>30</v>
      </c>
      <c r="L14" s="2">
        <v>2024</v>
      </c>
      <c r="M14" s="3">
        <v>45489</v>
      </c>
    </row>
    <row r="15" spans="2:13" ht="23.5" customHeight="1" x14ac:dyDescent="0.35">
      <c r="B15" s="1" t="s">
        <v>59</v>
      </c>
      <c r="C15" s="1" t="s">
        <v>60</v>
      </c>
      <c r="D15" s="1" t="s">
        <v>46</v>
      </c>
      <c r="E15" s="1" t="s">
        <v>20</v>
      </c>
      <c r="F15" s="1" t="s">
        <v>28</v>
      </c>
      <c r="G15" s="2">
        <v>38000</v>
      </c>
      <c r="H15" s="2">
        <v>4</v>
      </c>
      <c r="I15" s="3">
        <v>46061</v>
      </c>
      <c r="J15" s="1" t="s">
        <v>35</v>
      </c>
      <c r="K15" s="1" t="s">
        <v>36</v>
      </c>
      <c r="L15" s="2">
        <v>2026</v>
      </c>
      <c r="M15" s="3">
        <v>46084</v>
      </c>
    </row>
    <row r="16" spans="2:13" ht="23.5" customHeight="1" x14ac:dyDescent="0.35">
      <c r="B16" s="1" t="s">
        <v>61</v>
      </c>
      <c r="C16" s="1" t="s">
        <v>62</v>
      </c>
      <c r="D16" s="1" t="s">
        <v>19</v>
      </c>
      <c r="E16" s="1" t="s">
        <v>27</v>
      </c>
      <c r="F16" s="1" t="s">
        <v>21</v>
      </c>
      <c r="G16" s="2">
        <v>105000</v>
      </c>
      <c r="H16" s="2">
        <v>3</v>
      </c>
      <c r="I16" s="3">
        <v>46064</v>
      </c>
      <c r="J16" s="1" t="s">
        <v>22</v>
      </c>
      <c r="K16" s="1" t="s">
        <v>23</v>
      </c>
      <c r="L16" s="2">
        <v>2023</v>
      </c>
      <c r="M16" s="3">
        <v>45220</v>
      </c>
    </row>
    <row r="17" spans="2:13" ht="23.5" customHeight="1" x14ac:dyDescent="0.35">
      <c r="B17" s="1" t="s">
        <v>63</v>
      </c>
      <c r="C17" s="1" t="s">
        <v>64</v>
      </c>
      <c r="D17" s="1" t="s">
        <v>39</v>
      </c>
      <c r="E17" s="1" t="s">
        <v>33</v>
      </c>
      <c r="F17" s="1" t="s">
        <v>34</v>
      </c>
      <c r="G17" s="2">
        <v>33000</v>
      </c>
      <c r="H17" s="2">
        <v>3</v>
      </c>
      <c r="I17" s="3">
        <v>46067</v>
      </c>
      <c r="J17" s="1" t="s">
        <v>43</v>
      </c>
      <c r="K17" s="1" t="s">
        <v>30</v>
      </c>
      <c r="L17" s="2">
        <v>2020</v>
      </c>
      <c r="M17" s="3">
        <v>44085</v>
      </c>
    </row>
    <row r="18" spans="2:13" ht="23.5" customHeight="1" x14ac:dyDescent="0.35">
      <c r="B18" s="1" t="s">
        <v>65</v>
      </c>
      <c r="C18" s="1" t="s">
        <v>66</v>
      </c>
      <c r="D18" s="1" t="s">
        <v>26</v>
      </c>
      <c r="E18" s="1" t="s">
        <v>20</v>
      </c>
      <c r="F18" s="1" t="s">
        <v>28</v>
      </c>
      <c r="G18" s="2">
        <v>48000</v>
      </c>
      <c r="H18" s="2">
        <v>5</v>
      </c>
      <c r="I18" s="3">
        <v>46070</v>
      </c>
      <c r="J18" s="1" t="s">
        <v>29</v>
      </c>
      <c r="K18" s="1" t="s">
        <v>30</v>
      </c>
      <c r="L18" s="2">
        <v>2024</v>
      </c>
      <c r="M18" s="3">
        <v>45409</v>
      </c>
    </row>
    <row r="19" spans="2:13" ht="23.5" customHeight="1" x14ac:dyDescent="0.35">
      <c r="B19" s="1" t="s">
        <v>67</v>
      </c>
      <c r="C19" s="1" t="s">
        <v>68</v>
      </c>
      <c r="D19" s="1" t="s">
        <v>19</v>
      </c>
      <c r="E19" s="1" t="s">
        <v>40</v>
      </c>
      <c r="F19" s="1" t="s">
        <v>21</v>
      </c>
      <c r="G19" s="2">
        <v>88000</v>
      </c>
      <c r="H19" s="2">
        <v>2</v>
      </c>
      <c r="I19" s="3">
        <v>46073</v>
      </c>
      <c r="J19" s="1" t="s">
        <v>22</v>
      </c>
      <c r="K19" s="1" t="s">
        <v>23</v>
      </c>
      <c r="L19" s="2">
        <v>2023</v>
      </c>
      <c r="M19" s="3">
        <v>45083</v>
      </c>
    </row>
    <row r="20" spans="2:13" ht="23.5" customHeight="1" x14ac:dyDescent="0.35">
      <c r="B20" s="1" t="s">
        <v>69</v>
      </c>
      <c r="C20" s="1" t="s">
        <v>70</v>
      </c>
      <c r="D20" s="1" t="s">
        <v>46</v>
      </c>
      <c r="E20" s="1" t="s">
        <v>27</v>
      </c>
      <c r="F20" s="1" t="s">
        <v>34</v>
      </c>
      <c r="G20" s="2">
        <v>26000</v>
      </c>
      <c r="H20" s="2">
        <v>2</v>
      </c>
      <c r="I20" s="3">
        <v>46076</v>
      </c>
      <c r="J20" s="1" t="s">
        <v>35</v>
      </c>
      <c r="K20" s="1" t="s">
        <v>36</v>
      </c>
      <c r="L20" s="2">
        <v>2020</v>
      </c>
      <c r="M20" s="3">
        <v>44184</v>
      </c>
    </row>
    <row r="21" spans="2:13" ht="23.5" customHeight="1" x14ac:dyDescent="0.35">
      <c r="B21" s="1" t="s">
        <v>71</v>
      </c>
      <c r="C21" s="1" t="s">
        <v>72</v>
      </c>
      <c r="D21" s="1" t="s">
        <v>19</v>
      </c>
      <c r="E21" s="1" t="s">
        <v>33</v>
      </c>
      <c r="F21" s="1" t="s">
        <v>28</v>
      </c>
      <c r="G21" s="2">
        <v>61000</v>
      </c>
      <c r="H21" s="2">
        <v>7</v>
      </c>
      <c r="I21" s="3">
        <v>46078</v>
      </c>
      <c r="J21" s="1" t="s">
        <v>43</v>
      </c>
      <c r="K21" s="1" t="s">
        <v>30</v>
      </c>
      <c r="L21" s="2">
        <v>2026</v>
      </c>
      <c r="M21" s="3">
        <v>46127</v>
      </c>
    </row>
    <row r="22" spans="2:13" ht="23.5" customHeight="1" x14ac:dyDescent="0.35">
      <c r="B22" s="1" t="s">
        <v>73</v>
      </c>
      <c r="C22" s="1" t="s">
        <v>74</v>
      </c>
      <c r="D22" s="1" t="s">
        <v>26</v>
      </c>
      <c r="E22" s="1" t="s">
        <v>40</v>
      </c>
      <c r="F22" s="1" t="s">
        <v>21</v>
      </c>
      <c r="G22" s="2">
        <v>132000</v>
      </c>
      <c r="H22" s="2">
        <v>4</v>
      </c>
      <c r="I22" s="3">
        <v>46081</v>
      </c>
      <c r="J22" s="1" t="s">
        <v>22</v>
      </c>
      <c r="K22" s="1" t="s">
        <v>23</v>
      </c>
      <c r="L22" s="2">
        <v>2024</v>
      </c>
      <c r="M22" s="3">
        <v>45574</v>
      </c>
    </row>
    <row r="25" spans="2:13" ht="23.5" customHeight="1" x14ac:dyDescent="0.35">
      <c r="B25" s="31" t="s">
        <v>75</v>
      </c>
      <c r="C25" s="31"/>
      <c r="D25" s="31"/>
      <c r="E25" s="31"/>
      <c r="G25" s="32" t="s">
        <v>78</v>
      </c>
      <c r="H25" s="32"/>
      <c r="K25" s="33" t="s">
        <v>81</v>
      </c>
      <c r="L25" s="34"/>
      <c r="M25" s="34"/>
    </row>
    <row r="26" spans="2:13" ht="43.5" x14ac:dyDescent="0.35">
      <c r="B26" s="7" t="s">
        <v>2</v>
      </c>
      <c r="C26" s="7" t="s">
        <v>76</v>
      </c>
      <c r="D26" s="6" t="s">
        <v>77</v>
      </c>
      <c r="G26" s="4" t="s">
        <v>77</v>
      </c>
      <c r="H26" s="4" t="s">
        <v>79</v>
      </c>
      <c r="I26" s="9" t="s">
        <v>80</v>
      </c>
      <c r="K26" s="4" t="s">
        <v>77</v>
      </c>
      <c r="L26" s="4" t="s">
        <v>14</v>
      </c>
      <c r="M26" s="4" t="s">
        <v>82</v>
      </c>
    </row>
    <row r="27" spans="2:13" ht="23.5" customHeight="1" x14ac:dyDescent="0.35">
      <c r="B27" s="1" t="s">
        <v>33</v>
      </c>
      <c r="C27" s="8">
        <f>SUMIF($E$3:$E$22,"=East",$G$3:$G$22)</f>
        <v>400000</v>
      </c>
      <c r="D27" s="8">
        <f>RANK(C27,$C$27:$C$30,0)</f>
        <v>1</v>
      </c>
      <c r="G27" s="8">
        <f>RANK(I27,$I$27:$I$29,0)</f>
        <v>1</v>
      </c>
      <c r="H27" s="1" t="s">
        <v>28</v>
      </c>
      <c r="I27" s="8">
        <f>SUMIF($F$3:$F$22,"=Mobile",$H$3:$H$22)</f>
        <v>34</v>
      </c>
      <c r="K27" s="8">
        <f>RANK(M27,$M$27:$M$30,0)</f>
        <v>1</v>
      </c>
      <c r="L27" s="1" t="s">
        <v>22</v>
      </c>
      <c r="M27" s="8">
        <f>COUNTIF($J$3:$J$22,"=UPI")</f>
        <v>8</v>
      </c>
    </row>
    <row r="28" spans="2:13" ht="23.5" customHeight="1" x14ac:dyDescent="0.35">
      <c r="B28" s="1" t="s">
        <v>40</v>
      </c>
      <c r="C28" s="8">
        <f>SUMIF($E$3:$E$22,"=West",$G$3:$G$22)</f>
        <v>392000</v>
      </c>
      <c r="D28" s="8">
        <f>RANK(C28,$C$27:$C$30,0)</f>
        <v>2</v>
      </c>
      <c r="G28" s="8">
        <f>RANK(I28,$I$27:$I$29,0)</f>
        <v>2</v>
      </c>
      <c r="H28" s="1" t="s">
        <v>21</v>
      </c>
      <c r="I28" s="8">
        <f>SUMIF($F$3:$F$22,"=Laptop",$H$3:$H$22)</f>
        <v>23</v>
      </c>
      <c r="K28" s="8">
        <f t="shared" ref="K28:K30" si="0">RANK(M28,$M$27:$M$30,0)</f>
        <v>2</v>
      </c>
      <c r="L28" s="1" t="s">
        <v>29</v>
      </c>
      <c r="M28" s="8">
        <f>COUNTIF($J$3:$J$22,"=Credit Card")</f>
        <v>4</v>
      </c>
    </row>
    <row r="29" spans="2:13" ht="23.5" customHeight="1" x14ac:dyDescent="0.35">
      <c r="B29" s="1" t="s">
        <v>27</v>
      </c>
      <c r="C29" s="8">
        <f>SUMIF($E$3:$E$22,"=South",$G$3:$G$22)</f>
        <v>272000</v>
      </c>
      <c r="D29" s="8">
        <f>RANK(C29,$C$27:$C$30,0)</f>
        <v>3</v>
      </c>
      <c r="G29" s="8">
        <f>RANK(I29,$I$27:$I$29,0)</f>
        <v>2</v>
      </c>
      <c r="H29" s="1" t="s">
        <v>34</v>
      </c>
      <c r="I29" s="8">
        <f>SUMIF($F$3:$F$22,"=Tablet",$H$3:$H$22)</f>
        <v>23</v>
      </c>
      <c r="K29" s="8">
        <f t="shared" si="0"/>
        <v>2</v>
      </c>
      <c r="L29" s="1" t="s">
        <v>35</v>
      </c>
      <c r="M29" s="8">
        <f>COUNTIF($J$3:$J$22,"=Cash")</f>
        <v>4</v>
      </c>
    </row>
    <row r="30" spans="2:13" ht="23.5" customHeight="1" x14ac:dyDescent="0.35">
      <c r="B30" s="1" t="s">
        <v>20</v>
      </c>
      <c r="C30" s="8">
        <f>SUMIF($E$3:$E$22,"=North",$G$3:$G$22)</f>
        <v>216000</v>
      </c>
      <c r="D30" s="8">
        <f>RANK(C30,$C$27:$C$30,0)</f>
        <v>4</v>
      </c>
      <c r="K30" s="8">
        <f t="shared" si="0"/>
        <v>2</v>
      </c>
      <c r="L30" s="1" t="s">
        <v>43</v>
      </c>
      <c r="M30" s="8">
        <f>COUNTIF($J$3:$J$22,"=Debit Card")</f>
        <v>4</v>
      </c>
    </row>
  </sheetData>
  <sortState xmlns:xlrd2="http://schemas.microsoft.com/office/spreadsheetml/2017/richdata2" ref="G27:I29">
    <sortCondition ref="G27:G29"/>
  </sortState>
  <mergeCells count="3">
    <mergeCell ref="B25:E25"/>
    <mergeCell ref="G25:H25"/>
    <mergeCell ref="K25:M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3185-B178-4E7D-9D0E-E096E8D51470}">
  <dimension ref="B2:O23"/>
  <sheetViews>
    <sheetView topLeftCell="A21" workbookViewId="0">
      <selection activeCell="H56" sqref="H56"/>
    </sheetView>
  </sheetViews>
  <sheetFormatPr defaultRowHeight="14.5" x14ac:dyDescent="0.35"/>
  <cols>
    <col min="9" max="9" width="9.90625" customWidth="1"/>
    <col min="13" max="13" width="11.08984375" customWidth="1"/>
    <col min="14" max="14" width="12.08984375" customWidth="1"/>
  </cols>
  <sheetData>
    <row r="2" spans="2:15" ht="43.5" x14ac:dyDescent="0.35">
      <c r="B2" s="4" t="s">
        <v>10</v>
      </c>
      <c r="C2" s="4" t="s">
        <v>0</v>
      </c>
      <c r="D2" s="4" t="s">
        <v>1</v>
      </c>
      <c r="E2" s="4" t="s">
        <v>2</v>
      </c>
      <c r="F2" s="4" t="s">
        <v>11</v>
      </c>
      <c r="G2" s="5" t="s">
        <v>3</v>
      </c>
      <c r="H2" s="5" t="s">
        <v>12</v>
      </c>
      <c r="I2" s="4" t="s">
        <v>13</v>
      </c>
      <c r="J2" s="4" t="s">
        <v>14</v>
      </c>
      <c r="K2" s="4" t="s">
        <v>4</v>
      </c>
      <c r="L2" s="5" t="s">
        <v>15</v>
      </c>
      <c r="M2" s="4" t="s">
        <v>16</v>
      </c>
      <c r="N2" s="4" t="s">
        <v>83</v>
      </c>
      <c r="O2" s="4" t="s">
        <v>84</v>
      </c>
    </row>
    <row r="3" spans="2:15" x14ac:dyDescent="0.35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>
        <v>75000</v>
      </c>
      <c r="H3" s="13">
        <v>3</v>
      </c>
      <c r="I3" s="14">
        <v>46027</v>
      </c>
      <c r="J3" s="13" t="s">
        <v>22</v>
      </c>
      <c r="K3" s="13" t="s">
        <v>23</v>
      </c>
      <c r="L3" s="13">
        <v>2024</v>
      </c>
      <c r="M3" s="14">
        <v>45458</v>
      </c>
      <c r="N3" s="12" t="str" cm="1">
        <f t="array" ref="N3">_xlfn.IFS(K3="Excellent","A",K3="Good","B",K3="Average","C",K3="Needs to Improvement","D")</f>
        <v>A</v>
      </c>
      <c r="O3" s="11" t="str">
        <f>IF(AND(N3="A",G3&gt;=50000),"Eligible","NA")</f>
        <v>Eligible</v>
      </c>
    </row>
    <row r="4" spans="2:15" ht="29" x14ac:dyDescent="0.35">
      <c r="B4" s="13" t="s">
        <v>24</v>
      </c>
      <c r="C4" s="13" t="s">
        <v>25</v>
      </c>
      <c r="D4" s="13" t="s">
        <v>26</v>
      </c>
      <c r="E4" s="13" t="s">
        <v>27</v>
      </c>
      <c r="F4" s="13" t="s">
        <v>28</v>
      </c>
      <c r="G4" s="13">
        <v>45000</v>
      </c>
      <c r="H4" s="13">
        <v>5</v>
      </c>
      <c r="I4" s="14">
        <v>46029</v>
      </c>
      <c r="J4" s="13" t="s">
        <v>29</v>
      </c>
      <c r="K4" s="13" t="s">
        <v>30</v>
      </c>
      <c r="L4" s="13">
        <v>2023</v>
      </c>
      <c r="M4" s="14">
        <v>45148</v>
      </c>
      <c r="N4" s="12" t="str" cm="1">
        <f t="array" ref="N4">_xlfn.IFS(K4="Excellent","A",K4="Good","B",K4="Average","C",K4="Needs to Improvement","D")</f>
        <v>B</v>
      </c>
      <c r="O4" s="11" t="str">
        <f t="shared" ref="O4:O22" si="0">IF(AND(N4="A",G4&gt;=50000),"Eligible","NA")</f>
        <v>NA</v>
      </c>
    </row>
    <row r="5" spans="2:15" x14ac:dyDescent="0.35">
      <c r="B5" s="13" t="s">
        <v>31</v>
      </c>
      <c r="C5" s="13" t="s">
        <v>32</v>
      </c>
      <c r="D5" s="13" t="s">
        <v>19</v>
      </c>
      <c r="E5" s="13" t="s">
        <v>33</v>
      </c>
      <c r="F5" s="13" t="s">
        <v>34</v>
      </c>
      <c r="G5" s="13">
        <v>36000</v>
      </c>
      <c r="H5" s="13">
        <v>4</v>
      </c>
      <c r="I5" s="14">
        <v>46032</v>
      </c>
      <c r="J5" s="13" t="s">
        <v>35</v>
      </c>
      <c r="K5" s="13" t="s">
        <v>36</v>
      </c>
      <c r="L5" s="13">
        <v>2020</v>
      </c>
      <c r="M5" s="14">
        <v>43883</v>
      </c>
      <c r="N5" s="12" t="str" cm="1">
        <f t="array" ref="N5">_xlfn.IFS(K5="Excellent","A",K5="Good","B",K5="Average","C",K5="Needs to Improvement","D")</f>
        <v>C</v>
      </c>
      <c r="O5" s="11" t="str">
        <f t="shared" si="0"/>
        <v>NA</v>
      </c>
    </row>
    <row r="6" spans="2:15" x14ac:dyDescent="0.35">
      <c r="B6" s="13" t="s">
        <v>37</v>
      </c>
      <c r="C6" s="13" t="s">
        <v>38</v>
      </c>
      <c r="D6" s="13" t="s">
        <v>39</v>
      </c>
      <c r="E6" s="13" t="s">
        <v>40</v>
      </c>
      <c r="F6" s="13" t="s">
        <v>21</v>
      </c>
      <c r="G6" s="13">
        <v>90000</v>
      </c>
      <c r="H6" s="13">
        <v>2</v>
      </c>
      <c r="I6" s="14">
        <v>46034</v>
      </c>
      <c r="J6" s="13" t="s">
        <v>22</v>
      </c>
      <c r="K6" s="13" t="s">
        <v>23</v>
      </c>
      <c r="L6" s="13">
        <v>2026</v>
      </c>
      <c r="M6" s="14">
        <v>46027</v>
      </c>
      <c r="N6" s="12" t="str" cm="1">
        <f t="array" ref="N6">_xlfn.IFS(K6="Excellent","A",K6="Good","B",K6="Average","C",K6="Needs to Improvement","D")</f>
        <v>A</v>
      </c>
      <c r="O6" s="11" t="str">
        <f t="shared" si="0"/>
        <v>Eligible</v>
      </c>
    </row>
    <row r="7" spans="2:15" ht="29" x14ac:dyDescent="0.35">
      <c r="B7" s="13" t="s">
        <v>41</v>
      </c>
      <c r="C7" s="13" t="s">
        <v>42</v>
      </c>
      <c r="D7" s="13" t="s">
        <v>19</v>
      </c>
      <c r="E7" s="13" t="s">
        <v>27</v>
      </c>
      <c r="F7" s="13" t="s">
        <v>28</v>
      </c>
      <c r="G7" s="13">
        <v>54000</v>
      </c>
      <c r="H7" s="13">
        <v>6</v>
      </c>
      <c r="I7" s="14">
        <v>46037</v>
      </c>
      <c r="J7" s="13" t="s">
        <v>43</v>
      </c>
      <c r="K7" s="13" t="s">
        <v>30</v>
      </c>
      <c r="L7" s="13">
        <v>2024</v>
      </c>
      <c r="M7" s="14">
        <v>45553</v>
      </c>
      <c r="N7" s="12" t="str" cm="1">
        <f t="array" ref="N7">_xlfn.IFS(K7="Excellent","A",K7="Good","B",K7="Average","C",K7="Needs to Improvement","D")</f>
        <v>B</v>
      </c>
      <c r="O7" s="11" t="str">
        <f t="shared" si="0"/>
        <v>NA</v>
      </c>
    </row>
    <row r="8" spans="2:15" x14ac:dyDescent="0.35">
      <c r="B8" s="13" t="s">
        <v>44</v>
      </c>
      <c r="C8" s="13" t="s">
        <v>45</v>
      </c>
      <c r="D8" s="13" t="s">
        <v>46</v>
      </c>
      <c r="E8" s="13" t="s">
        <v>20</v>
      </c>
      <c r="F8" s="13" t="s">
        <v>34</v>
      </c>
      <c r="G8" s="13">
        <v>28000</v>
      </c>
      <c r="H8" s="13">
        <v>3</v>
      </c>
      <c r="I8" s="14">
        <v>46040</v>
      </c>
      <c r="J8" s="13" t="s">
        <v>22</v>
      </c>
      <c r="K8" s="13" t="s">
        <v>36</v>
      </c>
      <c r="L8" s="13">
        <v>2023</v>
      </c>
      <c r="M8" s="14">
        <v>45010</v>
      </c>
      <c r="N8" s="12" t="str" cm="1">
        <f t="array" ref="N8">_xlfn.IFS(K8="Excellent","A",K8="Good","B",K8="Average","C",K8="Needs to Improvement","D")</f>
        <v>C</v>
      </c>
      <c r="O8" s="11" t="str">
        <f t="shared" si="0"/>
        <v>NA</v>
      </c>
    </row>
    <row r="9" spans="2:15" ht="29" x14ac:dyDescent="0.35">
      <c r="B9" s="13" t="s">
        <v>47</v>
      </c>
      <c r="C9" s="13" t="s">
        <v>48</v>
      </c>
      <c r="D9" s="13" t="s">
        <v>26</v>
      </c>
      <c r="E9" s="13" t="s">
        <v>33</v>
      </c>
      <c r="F9" s="13" t="s">
        <v>21</v>
      </c>
      <c r="G9" s="13">
        <v>120000</v>
      </c>
      <c r="H9" s="13">
        <v>4</v>
      </c>
      <c r="I9" s="14">
        <v>46042</v>
      </c>
      <c r="J9" s="13" t="s">
        <v>29</v>
      </c>
      <c r="K9" s="13" t="s">
        <v>23</v>
      </c>
      <c r="L9" s="13">
        <v>2020</v>
      </c>
      <c r="M9" s="14">
        <v>44024</v>
      </c>
      <c r="N9" s="12" t="str" cm="1">
        <f t="array" ref="N9">_xlfn.IFS(K9="Excellent","A",K9="Good","B",K9="Average","C",K9="Needs to Improvement","D")</f>
        <v>A</v>
      </c>
      <c r="O9" s="11" t="str">
        <f t="shared" si="0"/>
        <v>Eligible</v>
      </c>
    </row>
    <row r="10" spans="2:15" x14ac:dyDescent="0.35">
      <c r="B10" s="13" t="s">
        <v>49</v>
      </c>
      <c r="C10" s="13" t="s">
        <v>50</v>
      </c>
      <c r="D10" s="13" t="s">
        <v>19</v>
      </c>
      <c r="E10" s="13" t="s">
        <v>40</v>
      </c>
      <c r="F10" s="13" t="s">
        <v>28</v>
      </c>
      <c r="G10" s="13">
        <v>32000</v>
      </c>
      <c r="H10" s="13">
        <v>4</v>
      </c>
      <c r="I10" s="14">
        <v>46045</v>
      </c>
      <c r="J10" s="13" t="s">
        <v>35</v>
      </c>
      <c r="K10" s="13" t="s">
        <v>30</v>
      </c>
      <c r="L10" s="13">
        <v>2026</v>
      </c>
      <c r="M10" s="14">
        <v>46073</v>
      </c>
      <c r="N10" s="12" t="str" cm="1">
        <f t="array" ref="N10">_xlfn.IFS(K10="Excellent","A",K10="Good","B",K10="Average","C",K10="Needs to Improvement","D")</f>
        <v>B</v>
      </c>
      <c r="O10" s="11" t="str">
        <f t="shared" si="0"/>
        <v>NA</v>
      </c>
    </row>
    <row r="11" spans="2:15" x14ac:dyDescent="0.35">
      <c r="B11" s="13" t="s">
        <v>51</v>
      </c>
      <c r="C11" s="13" t="s">
        <v>52</v>
      </c>
      <c r="D11" s="13" t="s">
        <v>46</v>
      </c>
      <c r="E11" s="13" t="s">
        <v>27</v>
      </c>
      <c r="F11" s="13" t="s">
        <v>34</v>
      </c>
      <c r="G11" s="13">
        <v>42000</v>
      </c>
      <c r="H11" s="13">
        <v>5</v>
      </c>
      <c r="I11" s="14">
        <v>46047</v>
      </c>
      <c r="J11" s="13" t="s">
        <v>22</v>
      </c>
      <c r="K11" s="13" t="s">
        <v>30</v>
      </c>
      <c r="L11" s="13">
        <v>2024</v>
      </c>
      <c r="M11" s="14">
        <v>45604</v>
      </c>
      <c r="N11" s="12" t="str" cm="1">
        <f t="array" ref="N11">_xlfn.IFS(K11="Excellent","A",K11="Good","B",K11="Average","C",K11="Needs to Improvement","D")</f>
        <v>B</v>
      </c>
      <c r="O11" s="11" t="str">
        <f t="shared" si="0"/>
        <v>NA</v>
      </c>
    </row>
    <row r="12" spans="2:15" ht="29" x14ac:dyDescent="0.35">
      <c r="B12" s="13" t="s">
        <v>53</v>
      </c>
      <c r="C12" s="13" t="s">
        <v>54</v>
      </c>
      <c r="D12" s="13" t="s">
        <v>39</v>
      </c>
      <c r="E12" s="13" t="s">
        <v>20</v>
      </c>
      <c r="F12" s="13" t="s">
        <v>28</v>
      </c>
      <c r="G12" s="13">
        <v>27000</v>
      </c>
      <c r="H12" s="13">
        <v>3</v>
      </c>
      <c r="I12" s="14">
        <v>46050</v>
      </c>
      <c r="J12" s="13" t="s">
        <v>43</v>
      </c>
      <c r="K12" s="13" t="s">
        <v>36</v>
      </c>
      <c r="L12" s="13">
        <v>2023</v>
      </c>
      <c r="M12" s="14">
        <v>45060</v>
      </c>
      <c r="N12" s="12" t="str" cm="1">
        <f t="array" ref="N12">_xlfn.IFS(K12="Excellent","A",K12="Good","B",K12="Average","C",K12="Needs to Improvement","D")</f>
        <v>C</v>
      </c>
      <c r="O12" s="11" t="str">
        <f t="shared" si="0"/>
        <v>NA</v>
      </c>
    </row>
    <row r="13" spans="2:15" ht="29" x14ac:dyDescent="0.35">
      <c r="B13" s="13" t="s">
        <v>55</v>
      </c>
      <c r="C13" s="13" t="s">
        <v>56</v>
      </c>
      <c r="D13" s="13" t="s">
        <v>19</v>
      </c>
      <c r="E13" s="13" t="s">
        <v>33</v>
      </c>
      <c r="F13" s="13" t="s">
        <v>21</v>
      </c>
      <c r="G13" s="13">
        <v>150000</v>
      </c>
      <c r="H13" s="13">
        <v>5</v>
      </c>
      <c r="I13" s="14">
        <v>46055</v>
      </c>
      <c r="J13" s="13" t="s">
        <v>29</v>
      </c>
      <c r="K13" s="13" t="s">
        <v>23</v>
      </c>
      <c r="L13" s="13">
        <v>2020</v>
      </c>
      <c r="M13" s="14">
        <v>43860</v>
      </c>
      <c r="N13" s="12" t="str" cm="1">
        <f t="array" ref="N13">_xlfn.IFS(K13="Excellent","A",K13="Good","B",K13="Average","C",K13="Needs to Improvement","D")</f>
        <v>A</v>
      </c>
      <c r="O13" s="11" t="str">
        <f t="shared" si="0"/>
        <v>Eligible</v>
      </c>
    </row>
    <row r="14" spans="2:15" ht="29" x14ac:dyDescent="0.35">
      <c r="B14" s="13" t="s">
        <v>57</v>
      </c>
      <c r="C14" s="13" t="s">
        <v>58</v>
      </c>
      <c r="D14" s="13" t="s">
        <v>26</v>
      </c>
      <c r="E14" s="13" t="s">
        <v>40</v>
      </c>
      <c r="F14" s="13" t="s">
        <v>34</v>
      </c>
      <c r="G14" s="13">
        <v>50000</v>
      </c>
      <c r="H14" s="13">
        <v>6</v>
      </c>
      <c r="I14" s="14">
        <v>46058</v>
      </c>
      <c r="J14" s="13" t="s">
        <v>22</v>
      </c>
      <c r="K14" s="13" t="s">
        <v>30</v>
      </c>
      <c r="L14" s="13">
        <v>2024</v>
      </c>
      <c r="M14" s="14">
        <v>45489</v>
      </c>
      <c r="N14" s="12" t="str" cm="1">
        <f t="array" ref="N14">_xlfn.IFS(K14="Excellent","A",K14="Good","B",K14="Average","C",K14="Needs to Improvement","D")</f>
        <v>B</v>
      </c>
      <c r="O14" s="11" t="str">
        <f t="shared" si="0"/>
        <v>NA</v>
      </c>
    </row>
    <row r="15" spans="2:15" x14ac:dyDescent="0.35">
      <c r="B15" s="13" t="s">
        <v>59</v>
      </c>
      <c r="C15" s="13" t="s">
        <v>60</v>
      </c>
      <c r="D15" s="13" t="s">
        <v>46</v>
      </c>
      <c r="E15" s="13" t="s">
        <v>20</v>
      </c>
      <c r="F15" s="13" t="s">
        <v>28</v>
      </c>
      <c r="G15" s="13">
        <v>38000</v>
      </c>
      <c r="H15" s="13">
        <v>4</v>
      </c>
      <c r="I15" s="14">
        <v>46061</v>
      </c>
      <c r="J15" s="13" t="s">
        <v>35</v>
      </c>
      <c r="K15" s="13" t="s">
        <v>36</v>
      </c>
      <c r="L15" s="13">
        <v>2026</v>
      </c>
      <c r="M15" s="14">
        <v>46084</v>
      </c>
      <c r="N15" s="12" t="str" cm="1">
        <f t="array" ref="N15">_xlfn.IFS(K15="Excellent","A",K15="Good","B",K15="Average","C",K15="Needs to Improvement","D")</f>
        <v>C</v>
      </c>
      <c r="O15" s="11" t="str">
        <f t="shared" si="0"/>
        <v>NA</v>
      </c>
    </row>
    <row r="16" spans="2:15" x14ac:dyDescent="0.35">
      <c r="B16" s="13" t="s">
        <v>61</v>
      </c>
      <c r="C16" s="13" t="s">
        <v>62</v>
      </c>
      <c r="D16" s="13" t="s">
        <v>19</v>
      </c>
      <c r="E16" s="13" t="s">
        <v>27</v>
      </c>
      <c r="F16" s="13" t="s">
        <v>21</v>
      </c>
      <c r="G16" s="13">
        <v>105000</v>
      </c>
      <c r="H16" s="13">
        <v>3</v>
      </c>
      <c r="I16" s="14">
        <v>46064</v>
      </c>
      <c r="J16" s="13" t="s">
        <v>22</v>
      </c>
      <c r="K16" s="13" t="s">
        <v>23</v>
      </c>
      <c r="L16" s="13">
        <v>2023</v>
      </c>
      <c r="M16" s="14">
        <v>45220</v>
      </c>
      <c r="N16" s="12" t="str" cm="1">
        <f t="array" ref="N16">_xlfn.IFS(K16="Excellent","A",K16="Good","B",K16="Average","C",K16="Needs to Improvement","D")</f>
        <v>A</v>
      </c>
      <c r="O16" s="11" t="str">
        <f t="shared" si="0"/>
        <v>Eligible</v>
      </c>
    </row>
    <row r="17" spans="2:15" ht="29" x14ac:dyDescent="0.35">
      <c r="B17" s="13" t="s">
        <v>63</v>
      </c>
      <c r="C17" s="13" t="s">
        <v>64</v>
      </c>
      <c r="D17" s="13" t="s">
        <v>39</v>
      </c>
      <c r="E17" s="13" t="s">
        <v>33</v>
      </c>
      <c r="F17" s="13" t="s">
        <v>34</v>
      </c>
      <c r="G17" s="13">
        <v>33000</v>
      </c>
      <c r="H17" s="13">
        <v>3</v>
      </c>
      <c r="I17" s="14">
        <v>46067</v>
      </c>
      <c r="J17" s="13" t="s">
        <v>43</v>
      </c>
      <c r="K17" s="13" t="s">
        <v>30</v>
      </c>
      <c r="L17" s="13">
        <v>2020</v>
      </c>
      <c r="M17" s="14">
        <v>44085</v>
      </c>
      <c r="N17" s="12" t="str" cm="1">
        <f t="array" ref="N17">_xlfn.IFS(K17="Excellent","A",K17="Good","B",K17="Average","C",K17="Needs to Improvement","D")</f>
        <v>B</v>
      </c>
      <c r="O17" s="11" t="str">
        <f t="shared" si="0"/>
        <v>NA</v>
      </c>
    </row>
    <row r="18" spans="2:15" ht="29" x14ac:dyDescent="0.35">
      <c r="B18" s="13" t="s">
        <v>65</v>
      </c>
      <c r="C18" s="13" t="s">
        <v>66</v>
      </c>
      <c r="D18" s="13" t="s">
        <v>26</v>
      </c>
      <c r="E18" s="13" t="s">
        <v>20</v>
      </c>
      <c r="F18" s="13" t="s">
        <v>28</v>
      </c>
      <c r="G18" s="13">
        <v>48000</v>
      </c>
      <c r="H18" s="13">
        <v>5</v>
      </c>
      <c r="I18" s="14">
        <v>46070</v>
      </c>
      <c r="J18" s="13" t="s">
        <v>29</v>
      </c>
      <c r="K18" s="13" t="s">
        <v>30</v>
      </c>
      <c r="L18" s="13">
        <v>2024</v>
      </c>
      <c r="M18" s="14">
        <v>45409</v>
      </c>
      <c r="N18" s="12" t="str" cm="1">
        <f t="array" ref="N18">_xlfn.IFS(K18="Excellent","A",K18="Good","B",K18="Average","C",K18="Needs to Improvement","D")</f>
        <v>B</v>
      </c>
      <c r="O18" s="11" t="str">
        <f t="shared" si="0"/>
        <v>NA</v>
      </c>
    </row>
    <row r="19" spans="2:15" x14ac:dyDescent="0.35">
      <c r="B19" s="13" t="s">
        <v>67</v>
      </c>
      <c r="C19" s="13" t="s">
        <v>68</v>
      </c>
      <c r="D19" s="13" t="s">
        <v>19</v>
      </c>
      <c r="E19" s="13" t="s">
        <v>40</v>
      </c>
      <c r="F19" s="13" t="s">
        <v>21</v>
      </c>
      <c r="G19" s="13">
        <v>88000</v>
      </c>
      <c r="H19" s="13">
        <v>2</v>
      </c>
      <c r="I19" s="14">
        <v>46073</v>
      </c>
      <c r="J19" s="13" t="s">
        <v>22</v>
      </c>
      <c r="K19" s="13" t="s">
        <v>23</v>
      </c>
      <c r="L19" s="13">
        <v>2023</v>
      </c>
      <c r="M19" s="14">
        <v>45083</v>
      </c>
      <c r="N19" s="12" t="str" cm="1">
        <f t="array" ref="N19">_xlfn.IFS(K19="Excellent","A",K19="Good","B",K19="Average","C",K19="Needs to Improvement","D")</f>
        <v>A</v>
      </c>
      <c r="O19" s="11" t="str">
        <f t="shared" si="0"/>
        <v>Eligible</v>
      </c>
    </row>
    <row r="20" spans="2:15" x14ac:dyDescent="0.35">
      <c r="B20" s="13" t="s">
        <v>69</v>
      </c>
      <c r="C20" s="13" t="s">
        <v>70</v>
      </c>
      <c r="D20" s="13" t="s">
        <v>46</v>
      </c>
      <c r="E20" s="13" t="s">
        <v>27</v>
      </c>
      <c r="F20" s="13" t="s">
        <v>34</v>
      </c>
      <c r="G20" s="13">
        <v>26000</v>
      </c>
      <c r="H20" s="13">
        <v>2</v>
      </c>
      <c r="I20" s="14">
        <v>46076</v>
      </c>
      <c r="J20" s="13" t="s">
        <v>35</v>
      </c>
      <c r="K20" s="13" t="s">
        <v>36</v>
      </c>
      <c r="L20" s="13">
        <v>2020</v>
      </c>
      <c r="M20" s="14">
        <v>44184</v>
      </c>
      <c r="N20" s="12" t="str" cm="1">
        <f t="array" ref="N20">_xlfn.IFS(K20="Excellent","A",K20="Good","B",K20="Average","C",K20="Needs to Improvement","D")</f>
        <v>C</v>
      </c>
      <c r="O20" s="11" t="str">
        <f t="shared" si="0"/>
        <v>NA</v>
      </c>
    </row>
    <row r="21" spans="2:15" ht="29" x14ac:dyDescent="0.35">
      <c r="B21" s="13" t="s">
        <v>71</v>
      </c>
      <c r="C21" s="13" t="s">
        <v>72</v>
      </c>
      <c r="D21" s="13" t="s">
        <v>19</v>
      </c>
      <c r="E21" s="13" t="s">
        <v>33</v>
      </c>
      <c r="F21" s="13" t="s">
        <v>28</v>
      </c>
      <c r="G21" s="13">
        <v>61000</v>
      </c>
      <c r="H21" s="13">
        <v>7</v>
      </c>
      <c r="I21" s="14">
        <v>46078</v>
      </c>
      <c r="J21" s="13" t="s">
        <v>43</v>
      </c>
      <c r="K21" s="13" t="s">
        <v>30</v>
      </c>
      <c r="L21" s="13">
        <v>2026</v>
      </c>
      <c r="M21" s="14">
        <v>46127</v>
      </c>
      <c r="N21" s="12" t="str" cm="1">
        <f t="array" ref="N21">_xlfn.IFS(K21="Excellent","A",K21="Good","B",K21="Average","C",K21="Needs to Improvement","D")</f>
        <v>B</v>
      </c>
      <c r="O21" s="11" t="str">
        <f t="shared" si="0"/>
        <v>NA</v>
      </c>
    </row>
    <row r="22" spans="2:15" ht="29" x14ac:dyDescent="0.35">
      <c r="B22" s="13" t="s">
        <v>73</v>
      </c>
      <c r="C22" s="13" t="s">
        <v>74</v>
      </c>
      <c r="D22" s="13" t="s">
        <v>26</v>
      </c>
      <c r="E22" s="13" t="s">
        <v>40</v>
      </c>
      <c r="F22" s="13" t="s">
        <v>21</v>
      </c>
      <c r="G22" s="13">
        <v>132000</v>
      </c>
      <c r="H22" s="13">
        <v>4</v>
      </c>
      <c r="I22" s="14">
        <v>46081</v>
      </c>
      <c r="J22" s="13" t="s">
        <v>22</v>
      </c>
      <c r="K22" s="13" t="s">
        <v>23</v>
      </c>
      <c r="L22" s="13">
        <v>2024</v>
      </c>
      <c r="M22" s="14">
        <v>45574</v>
      </c>
      <c r="N22" s="12" t="str" cm="1">
        <f t="array" ref="N22">_xlfn.IFS(K22="Excellent","A",K22="Good","B",K22="Average","C",K22="Needs to Improvement","D")</f>
        <v>A</v>
      </c>
      <c r="O22" s="11" t="str">
        <f t="shared" si="0"/>
        <v>Eligible</v>
      </c>
    </row>
    <row r="23" spans="2:15" x14ac:dyDescent="0.3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5" t="s">
        <v>85</v>
      </c>
      <c r="O23" s="10">
        <f>COUNTIF(O3:O22,"=Eligible")</f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FDEB6-87AD-4B21-B2C4-A48AC5DA595D}">
  <dimension ref="B2:N25"/>
  <sheetViews>
    <sheetView topLeftCell="A18" workbookViewId="0">
      <selection activeCell="K30" sqref="K30"/>
    </sheetView>
  </sheetViews>
  <sheetFormatPr defaultRowHeight="14.5" x14ac:dyDescent="0.35"/>
  <cols>
    <col min="2" max="2" width="8" bestFit="1" customWidth="1"/>
    <col min="3" max="3" width="8.453125" bestFit="1" customWidth="1"/>
    <col min="4" max="4" width="8.36328125" bestFit="1" customWidth="1"/>
    <col min="5" max="5" width="8.26953125" bestFit="1" customWidth="1"/>
    <col min="6" max="6" width="7.453125" bestFit="1" customWidth="1"/>
    <col min="7" max="7" width="7.6328125" bestFit="1" customWidth="1"/>
    <col min="8" max="8" width="8.1796875" bestFit="1" customWidth="1"/>
    <col min="9" max="9" width="9.08984375" bestFit="1" customWidth="1"/>
    <col min="10" max="10" width="8.26953125" bestFit="1" customWidth="1"/>
    <col min="12" max="12" width="8.1796875" bestFit="1" customWidth="1"/>
    <col min="13" max="13" width="9.7265625" bestFit="1" customWidth="1"/>
    <col min="14" max="14" width="6.54296875" bestFit="1" customWidth="1"/>
  </cols>
  <sheetData>
    <row r="2" spans="2:13" ht="43.5" x14ac:dyDescent="0.35">
      <c r="B2" s="4" t="s">
        <v>10</v>
      </c>
      <c r="C2" s="4" t="s">
        <v>0</v>
      </c>
      <c r="D2" s="4" t="s">
        <v>1</v>
      </c>
      <c r="E2" s="4" t="s">
        <v>2</v>
      </c>
      <c r="F2" s="4" t="s">
        <v>11</v>
      </c>
      <c r="G2" s="5" t="s">
        <v>3</v>
      </c>
      <c r="H2" s="5" t="s">
        <v>12</v>
      </c>
      <c r="I2" s="4" t="s">
        <v>13</v>
      </c>
      <c r="J2" s="4" t="s">
        <v>14</v>
      </c>
      <c r="K2" s="4" t="s">
        <v>4</v>
      </c>
      <c r="L2" s="5" t="s">
        <v>15</v>
      </c>
      <c r="M2" s="4" t="s">
        <v>16</v>
      </c>
    </row>
    <row r="3" spans="2:13" x14ac:dyDescent="0.35">
      <c r="B3" s="1" t="s">
        <v>17</v>
      </c>
      <c r="C3" s="1" t="s">
        <v>18</v>
      </c>
      <c r="D3" s="1" t="s">
        <v>19</v>
      </c>
      <c r="E3" s="1" t="s">
        <v>20</v>
      </c>
      <c r="F3" s="1" t="s">
        <v>21</v>
      </c>
      <c r="G3" s="2">
        <v>75000</v>
      </c>
      <c r="H3" s="2">
        <v>3</v>
      </c>
      <c r="I3" s="3">
        <v>46027</v>
      </c>
      <c r="J3" s="1" t="s">
        <v>22</v>
      </c>
      <c r="K3" s="1" t="s">
        <v>23</v>
      </c>
      <c r="L3" s="2">
        <v>2024</v>
      </c>
      <c r="M3" s="3">
        <v>45458</v>
      </c>
    </row>
    <row r="4" spans="2:13" ht="29" x14ac:dyDescent="0.35">
      <c r="B4" s="1" t="s">
        <v>24</v>
      </c>
      <c r="C4" s="1" t="s">
        <v>25</v>
      </c>
      <c r="D4" s="1" t="s">
        <v>26</v>
      </c>
      <c r="E4" s="1" t="s">
        <v>27</v>
      </c>
      <c r="F4" s="1" t="s">
        <v>28</v>
      </c>
      <c r="G4" s="2">
        <v>45000</v>
      </c>
      <c r="H4" s="2">
        <v>5</v>
      </c>
      <c r="I4" s="3">
        <v>46029</v>
      </c>
      <c r="J4" s="1" t="s">
        <v>29</v>
      </c>
      <c r="K4" s="1" t="s">
        <v>30</v>
      </c>
      <c r="L4" s="2">
        <v>2023</v>
      </c>
      <c r="M4" s="3">
        <v>45148</v>
      </c>
    </row>
    <row r="5" spans="2:13" x14ac:dyDescent="0.35">
      <c r="B5" s="1" t="s">
        <v>31</v>
      </c>
      <c r="C5" s="1" t="s">
        <v>32</v>
      </c>
      <c r="D5" s="1" t="s">
        <v>19</v>
      </c>
      <c r="E5" s="1" t="s">
        <v>33</v>
      </c>
      <c r="F5" s="1" t="s">
        <v>34</v>
      </c>
      <c r="G5" s="2">
        <v>36000</v>
      </c>
      <c r="H5" s="2">
        <v>4</v>
      </c>
      <c r="I5" s="3">
        <v>46032</v>
      </c>
      <c r="J5" s="1" t="s">
        <v>35</v>
      </c>
      <c r="K5" s="1" t="s">
        <v>36</v>
      </c>
      <c r="L5" s="2">
        <v>2020</v>
      </c>
      <c r="M5" s="3">
        <v>43883</v>
      </c>
    </row>
    <row r="6" spans="2:13" x14ac:dyDescent="0.35">
      <c r="B6" s="1" t="s">
        <v>37</v>
      </c>
      <c r="C6" s="1" t="s">
        <v>38</v>
      </c>
      <c r="D6" s="1" t="s">
        <v>39</v>
      </c>
      <c r="E6" s="1" t="s">
        <v>40</v>
      </c>
      <c r="F6" s="1" t="s">
        <v>21</v>
      </c>
      <c r="G6" s="2">
        <v>90000</v>
      </c>
      <c r="H6" s="2">
        <v>2</v>
      </c>
      <c r="I6" s="3">
        <v>46034</v>
      </c>
      <c r="J6" s="1" t="s">
        <v>22</v>
      </c>
      <c r="K6" s="1" t="s">
        <v>23</v>
      </c>
      <c r="L6" s="2">
        <v>2026</v>
      </c>
      <c r="M6" s="3">
        <v>46027</v>
      </c>
    </row>
    <row r="7" spans="2:13" ht="29" x14ac:dyDescent="0.35">
      <c r="B7" s="1" t="s">
        <v>41</v>
      </c>
      <c r="C7" s="1" t="s">
        <v>42</v>
      </c>
      <c r="D7" s="1" t="s">
        <v>19</v>
      </c>
      <c r="E7" s="1" t="s">
        <v>27</v>
      </c>
      <c r="F7" s="1" t="s">
        <v>28</v>
      </c>
      <c r="G7" s="2">
        <v>54000</v>
      </c>
      <c r="H7" s="2">
        <v>6</v>
      </c>
      <c r="I7" s="3">
        <v>46037</v>
      </c>
      <c r="J7" s="1" t="s">
        <v>43</v>
      </c>
      <c r="K7" s="1" t="s">
        <v>30</v>
      </c>
      <c r="L7" s="2">
        <v>2024</v>
      </c>
      <c r="M7" s="3">
        <v>45553</v>
      </c>
    </row>
    <row r="8" spans="2:13" x14ac:dyDescent="0.35">
      <c r="B8" s="1" t="s">
        <v>44</v>
      </c>
      <c r="C8" s="1" t="s">
        <v>45</v>
      </c>
      <c r="D8" s="1" t="s">
        <v>46</v>
      </c>
      <c r="E8" s="1" t="s">
        <v>20</v>
      </c>
      <c r="F8" s="1" t="s">
        <v>34</v>
      </c>
      <c r="G8" s="2">
        <v>28000</v>
      </c>
      <c r="H8" s="2">
        <v>3</v>
      </c>
      <c r="I8" s="3">
        <v>46040</v>
      </c>
      <c r="J8" s="1" t="s">
        <v>22</v>
      </c>
      <c r="K8" s="1" t="s">
        <v>36</v>
      </c>
      <c r="L8" s="2">
        <v>2023</v>
      </c>
      <c r="M8" s="3">
        <v>45010</v>
      </c>
    </row>
    <row r="9" spans="2:13" ht="29" x14ac:dyDescent="0.35">
      <c r="B9" s="1" t="s">
        <v>47</v>
      </c>
      <c r="C9" s="1" t="s">
        <v>48</v>
      </c>
      <c r="D9" s="1" t="s">
        <v>26</v>
      </c>
      <c r="E9" s="1" t="s">
        <v>33</v>
      </c>
      <c r="F9" s="1" t="s">
        <v>21</v>
      </c>
      <c r="G9" s="2">
        <v>120000</v>
      </c>
      <c r="H9" s="2">
        <v>4</v>
      </c>
      <c r="I9" s="3">
        <v>46042</v>
      </c>
      <c r="J9" s="1" t="s">
        <v>29</v>
      </c>
      <c r="K9" s="1" t="s">
        <v>23</v>
      </c>
      <c r="L9" s="2">
        <v>2020</v>
      </c>
      <c r="M9" s="3">
        <v>44024</v>
      </c>
    </row>
    <row r="10" spans="2:13" x14ac:dyDescent="0.35">
      <c r="B10" s="1" t="s">
        <v>49</v>
      </c>
      <c r="C10" s="1" t="s">
        <v>50</v>
      </c>
      <c r="D10" s="1" t="s">
        <v>19</v>
      </c>
      <c r="E10" s="1" t="s">
        <v>40</v>
      </c>
      <c r="F10" s="1" t="s">
        <v>28</v>
      </c>
      <c r="G10" s="2">
        <v>32000</v>
      </c>
      <c r="H10" s="2">
        <v>4</v>
      </c>
      <c r="I10" s="3">
        <v>46045</v>
      </c>
      <c r="J10" s="1" t="s">
        <v>35</v>
      </c>
      <c r="K10" s="1" t="s">
        <v>30</v>
      </c>
      <c r="L10" s="2">
        <v>2026</v>
      </c>
      <c r="M10" s="3">
        <v>46073</v>
      </c>
    </row>
    <row r="11" spans="2:13" x14ac:dyDescent="0.35">
      <c r="B11" s="1" t="s">
        <v>51</v>
      </c>
      <c r="C11" s="1" t="s">
        <v>52</v>
      </c>
      <c r="D11" s="1" t="s">
        <v>46</v>
      </c>
      <c r="E11" s="1" t="s">
        <v>27</v>
      </c>
      <c r="F11" s="1" t="s">
        <v>34</v>
      </c>
      <c r="G11" s="2">
        <v>42000</v>
      </c>
      <c r="H11" s="2">
        <v>5</v>
      </c>
      <c r="I11" s="3">
        <v>46047</v>
      </c>
      <c r="J11" s="1" t="s">
        <v>22</v>
      </c>
      <c r="K11" s="1" t="s">
        <v>30</v>
      </c>
      <c r="L11" s="2">
        <v>2024</v>
      </c>
      <c r="M11" s="3">
        <v>45604</v>
      </c>
    </row>
    <row r="12" spans="2:13" ht="29" x14ac:dyDescent="0.35">
      <c r="B12" s="1" t="s">
        <v>53</v>
      </c>
      <c r="C12" s="1" t="s">
        <v>54</v>
      </c>
      <c r="D12" s="1" t="s">
        <v>39</v>
      </c>
      <c r="E12" s="1" t="s">
        <v>20</v>
      </c>
      <c r="F12" s="1" t="s">
        <v>28</v>
      </c>
      <c r="G12" s="2">
        <v>27000</v>
      </c>
      <c r="H12" s="2">
        <v>3</v>
      </c>
      <c r="I12" s="3">
        <v>46050</v>
      </c>
      <c r="J12" s="1" t="s">
        <v>43</v>
      </c>
      <c r="K12" s="1" t="s">
        <v>36</v>
      </c>
      <c r="L12" s="2">
        <v>2023</v>
      </c>
      <c r="M12" s="3">
        <v>45060</v>
      </c>
    </row>
    <row r="13" spans="2:13" ht="29" x14ac:dyDescent="0.35">
      <c r="B13" s="1" t="s">
        <v>55</v>
      </c>
      <c r="C13" s="1" t="s">
        <v>56</v>
      </c>
      <c r="D13" s="1" t="s">
        <v>19</v>
      </c>
      <c r="E13" s="1" t="s">
        <v>33</v>
      </c>
      <c r="F13" s="1" t="s">
        <v>21</v>
      </c>
      <c r="G13" s="2">
        <v>150000</v>
      </c>
      <c r="H13" s="2">
        <v>5</v>
      </c>
      <c r="I13" s="3">
        <v>46055</v>
      </c>
      <c r="J13" s="1" t="s">
        <v>29</v>
      </c>
      <c r="K13" s="1" t="s">
        <v>23</v>
      </c>
      <c r="L13" s="2">
        <v>2020</v>
      </c>
      <c r="M13" s="3">
        <v>43860</v>
      </c>
    </row>
    <row r="14" spans="2:13" ht="29" x14ac:dyDescent="0.35">
      <c r="B14" s="1" t="s">
        <v>57</v>
      </c>
      <c r="C14" s="1" t="s">
        <v>58</v>
      </c>
      <c r="D14" s="1" t="s">
        <v>26</v>
      </c>
      <c r="E14" s="1" t="s">
        <v>40</v>
      </c>
      <c r="F14" s="1" t="s">
        <v>34</v>
      </c>
      <c r="G14" s="2">
        <v>50000</v>
      </c>
      <c r="H14" s="2">
        <v>6</v>
      </c>
      <c r="I14" s="3">
        <v>46058</v>
      </c>
      <c r="J14" s="1" t="s">
        <v>22</v>
      </c>
      <c r="K14" s="1" t="s">
        <v>30</v>
      </c>
      <c r="L14" s="2">
        <v>2024</v>
      </c>
      <c r="M14" s="3">
        <v>45489</v>
      </c>
    </row>
    <row r="15" spans="2:13" x14ac:dyDescent="0.35">
      <c r="B15" s="1" t="s">
        <v>59</v>
      </c>
      <c r="C15" s="1" t="s">
        <v>60</v>
      </c>
      <c r="D15" s="1" t="s">
        <v>46</v>
      </c>
      <c r="E15" s="1" t="s">
        <v>20</v>
      </c>
      <c r="F15" s="1" t="s">
        <v>28</v>
      </c>
      <c r="G15" s="2">
        <v>38000</v>
      </c>
      <c r="H15" s="2">
        <v>4</v>
      </c>
      <c r="I15" s="3">
        <v>46061</v>
      </c>
      <c r="J15" s="1" t="s">
        <v>35</v>
      </c>
      <c r="K15" s="1" t="s">
        <v>36</v>
      </c>
      <c r="L15" s="2">
        <v>2026</v>
      </c>
      <c r="M15" s="3">
        <v>46084</v>
      </c>
    </row>
    <row r="16" spans="2:13" x14ac:dyDescent="0.35">
      <c r="B16" s="1" t="s">
        <v>61</v>
      </c>
      <c r="C16" s="1" t="s">
        <v>62</v>
      </c>
      <c r="D16" s="1" t="s">
        <v>19</v>
      </c>
      <c r="E16" s="1" t="s">
        <v>27</v>
      </c>
      <c r="F16" s="1" t="s">
        <v>21</v>
      </c>
      <c r="G16" s="2">
        <v>105000</v>
      </c>
      <c r="H16" s="2">
        <v>3</v>
      </c>
      <c r="I16" s="3">
        <v>46064</v>
      </c>
      <c r="J16" s="1" t="s">
        <v>22</v>
      </c>
      <c r="K16" s="1" t="s">
        <v>23</v>
      </c>
      <c r="L16" s="2">
        <v>2023</v>
      </c>
      <c r="M16" s="3">
        <v>45220</v>
      </c>
    </row>
    <row r="17" spans="2:14" ht="29" x14ac:dyDescent="0.35">
      <c r="B17" s="1" t="s">
        <v>63</v>
      </c>
      <c r="C17" s="1" t="s">
        <v>64</v>
      </c>
      <c r="D17" s="1" t="s">
        <v>39</v>
      </c>
      <c r="E17" s="1" t="s">
        <v>33</v>
      </c>
      <c r="F17" s="1" t="s">
        <v>34</v>
      </c>
      <c r="G17" s="2">
        <v>33000</v>
      </c>
      <c r="H17" s="2">
        <v>3</v>
      </c>
      <c r="I17" s="3">
        <v>46067</v>
      </c>
      <c r="J17" s="1" t="s">
        <v>43</v>
      </c>
      <c r="K17" s="1" t="s">
        <v>30</v>
      </c>
      <c r="L17" s="2">
        <v>2020</v>
      </c>
      <c r="M17" s="3">
        <v>44085</v>
      </c>
    </row>
    <row r="18" spans="2:14" ht="29" x14ac:dyDescent="0.35">
      <c r="B18" s="1" t="s">
        <v>65</v>
      </c>
      <c r="C18" s="1" t="s">
        <v>66</v>
      </c>
      <c r="D18" s="1" t="s">
        <v>26</v>
      </c>
      <c r="E18" s="1" t="s">
        <v>20</v>
      </c>
      <c r="F18" s="1" t="s">
        <v>28</v>
      </c>
      <c r="G18" s="2">
        <v>48000</v>
      </c>
      <c r="H18" s="2">
        <v>5</v>
      </c>
      <c r="I18" s="3">
        <v>46070</v>
      </c>
      <c r="J18" s="1" t="s">
        <v>29</v>
      </c>
      <c r="K18" s="1" t="s">
        <v>30</v>
      </c>
      <c r="L18" s="2">
        <v>2024</v>
      </c>
      <c r="M18" s="3">
        <v>45409</v>
      </c>
    </row>
    <row r="19" spans="2:14" x14ac:dyDescent="0.35">
      <c r="B19" s="1" t="s">
        <v>67</v>
      </c>
      <c r="C19" s="1" t="s">
        <v>68</v>
      </c>
      <c r="D19" s="1" t="s">
        <v>19</v>
      </c>
      <c r="E19" s="1" t="s">
        <v>40</v>
      </c>
      <c r="F19" s="1" t="s">
        <v>21</v>
      </c>
      <c r="G19" s="2">
        <v>88000</v>
      </c>
      <c r="H19" s="2">
        <v>2</v>
      </c>
      <c r="I19" s="3">
        <v>46073</v>
      </c>
      <c r="J19" s="1" t="s">
        <v>22</v>
      </c>
      <c r="K19" s="1" t="s">
        <v>23</v>
      </c>
      <c r="L19" s="2">
        <v>2023</v>
      </c>
      <c r="M19" s="3">
        <v>45083</v>
      </c>
    </row>
    <row r="20" spans="2:14" x14ac:dyDescent="0.35">
      <c r="B20" s="1" t="s">
        <v>69</v>
      </c>
      <c r="C20" s="1" t="s">
        <v>70</v>
      </c>
      <c r="D20" s="1" t="s">
        <v>46</v>
      </c>
      <c r="E20" s="1" t="s">
        <v>27</v>
      </c>
      <c r="F20" s="1" t="s">
        <v>34</v>
      </c>
      <c r="G20" s="2">
        <v>26000</v>
      </c>
      <c r="H20" s="2">
        <v>2</v>
      </c>
      <c r="I20" s="3">
        <v>46076</v>
      </c>
      <c r="J20" s="1" t="s">
        <v>35</v>
      </c>
      <c r="K20" s="1" t="s">
        <v>36</v>
      </c>
      <c r="L20" s="2">
        <v>2020</v>
      </c>
      <c r="M20" s="3">
        <v>44184</v>
      </c>
    </row>
    <row r="21" spans="2:14" ht="29" x14ac:dyDescent="0.35">
      <c r="B21" s="1" t="s">
        <v>71</v>
      </c>
      <c r="C21" s="1" t="s">
        <v>72</v>
      </c>
      <c r="D21" s="1" t="s">
        <v>19</v>
      </c>
      <c r="E21" s="1" t="s">
        <v>33</v>
      </c>
      <c r="F21" s="1" t="s">
        <v>28</v>
      </c>
      <c r="G21" s="2">
        <v>61000</v>
      </c>
      <c r="H21" s="2">
        <v>7</v>
      </c>
      <c r="I21" s="3">
        <v>46078</v>
      </c>
      <c r="J21" s="1" t="s">
        <v>43</v>
      </c>
      <c r="K21" s="1" t="s">
        <v>30</v>
      </c>
      <c r="L21" s="2">
        <v>2026</v>
      </c>
      <c r="M21" s="3">
        <v>46127</v>
      </c>
    </row>
    <row r="22" spans="2:14" ht="29" x14ac:dyDescent="0.35">
      <c r="B22" s="1" t="s">
        <v>73</v>
      </c>
      <c r="C22" s="1" t="s">
        <v>74</v>
      </c>
      <c r="D22" s="1" t="s">
        <v>26</v>
      </c>
      <c r="E22" s="1" t="s">
        <v>40</v>
      </c>
      <c r="F22" s="1" t="s">
        <v>21</v>
      </c>
      <c r="G22" s="2">
        <v>132000</v>
      </c>
      <c r="H22" s="2">
        <v>4</v>
      </c>
      <c r="I22" s="3">
        <v>46081</v>
      </c>
      <c r="J22" s="1" t="s">
        <v>22</v>
      </c>
      <c r="K22" s="1" t="s">
        <v>23</v>
      </c>
      <c r="L22" s="2">
        <v>2024</v>
      </c>
      <c r="M22" s="3">
        <v>45574</v>
      </c>
    </row>
    <row r="24" spans="2:14" ht="43.5" x14ac:dyDescent="0.35">
      <c r="B24" s="17" t="s">
        <v>98</v>
      </c>
      <c r="C24" s="4" t="s">
        <v>10</v>
      </c>
      <c r="D24" s="4" t="s">
        <v>0</v>
      </c>
      <c r="E24" s="4" t="s">
        <v>1</v>
      </c>
      <c r="F24" s="4" t="s">
        <v>2</v>
      </c>
      <c r="G24" s="4" t="s">
        <v>11</v>
      </c>
      <c r="H24" s="4" t="s">
        <v>3</v>
      </c>
      <c r="I24" s="4" t="s">
        <v>12</v>
      </c>
      <c r="J24" s="4" t="s">
        <v>13</v>
      </c>
      <c r="K24" s="4" t="s">
        <v>14</v>
      </c>
      <c r="L24" s="4" t="s">
        <v>4</v>
      </c>
      <c r="M24" s="4" t="s">
        <v>15</v>
      </c>
      <c r="N24" s="4" t="s">
        <v>16</v>
      </c>
    </row>
    <row r="25" spans="2:14" x14ac:dyDescent="0.35">
      <c r="B25" s="16" t="s">
        <v>17</v>
      </c>
      <c r="C25" t="str" cm="1">
        <f t="array" ref="C25:N25">_xlfn.XLOOKUP(B25,B2:B22,B2:M22,"Value Not Found",0)</f>
        <v>E001</v>
      </c>
      <c r="D25" t="str">
        <v>Rahul</v>
      </c>
      <c r="E25" t="str">
        <v>Sales</v>
      </c>
      <c r="F25" t="str">
        <v>North</v>
      </c>
      <c r="G25" t="str">
        <v>Laptop</v>
      </c>
      <c r="H25">
        <v>75000</v>
      </c>
      <c r="I25">
        <v>3</v>
      </c>
      <c r="J25">
        <v>46027</v>
      </c>
      <c r="K25" t="str">
        <v>UPI</v>
      </c>
      <c r="L25" t="str">
        <v>Excellent</v>
      </c>
      <c r="M25">
        <v>2024</v>
      </c>
      <c r="N25">
        <v>45458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7C593-E2A8-499A-AD97-F7A9A86E4CBE}">
  <dimension ref="A2:F71"/>
  <sheetViews>
    <sheetView topLeftCell="A68" zoomScale="116" zoomScaleNormal="116" workbookViewId="0">
      <selection activeCell="H82" sqref="H82"/>
    </sheetView>
  </sheetViews>
  <sheetFormatPr defaultRowHeight="14.5" x14ac:dyDescent="0.35"/>
  <cols>
    <col min="1" max="1" width="18.90625" bestFit="1" customWidth="1"/>
    <col min="2" max="2" width="8.81640625" bestFit="1" customWidth="1"/>
    <col min="3" max="3" width="10.81640625" bestFit="1" customWidth="1"/>
    <col min="4" max="5" width="8.81640625" bestFit="1" customWidth="1"/>
    <col min="6" max="6" width="10.81640625" bestFit="1" customWidth="1"/>
    <col min="7" max="7" width="11.81640625" bestFit="1" customWidth="1"/>
    <col min="8" max="8" width="7.26953125" bestFit="1" customWidth="1"/>
    <col min="9" max="9" width="10.1796875" bestFit="1" customWidth="1"/>
    <col min="10" max="10" width="7.1796875" bestFit="1" customWidth="1"/>
    <col min="11" max="11" width="10.08984375" bestFit="1" customWidth="1"/>
    <col min="12" max="12" width="8" bestFit="1" customWidth="1"/>
    <col min="13" max="13" width="10.90625" bestFit="1" customWidth="1"/>
    <col min="14" max="14" width="7.54296875" bestFit="1" customWidth="1"/>
    <col min="15" max="15" width="10.453125" bestFit="1" customWidth="1"/>
    <col min="16" max="16" width="7" bestFit="1" customWidth="1"/>
    <col min="17" max="17" width="9.90625" bestFit="1" customWidth="1"/>
    <col min="18" max="18" width="8.81640625" bestFit="1" customWidth="1"/>
    <col min="19" max="19" width="11.7265625" bestFit="1" customWidth="1"/>
    <col min="20" max="20" width="8.453125" bestFit="1" customWidth="1"/>
    <col min="21" max="21" width="11.36328125" bestFit="1" customWidth="1"/>
    <col min="22" max="22" width="8.90625" bestFit="1" customWidth="1"/>
    <col min="23" max="23" width="11.81640625" bestFit="1" customWidth="1"/>
    <col min="24" max="24" width="7" bestFit="1" customWidth="1"/>
    <col min="25" max="25" width="9.90625" bestFit="1" customWidth="1"/>
    <col min="26" max="26" width="7.453125" bestFit="1" customWidth="1"/>
    <col min="27" max="27" width="10.36328125" bestFit="1" customWidth="1"/>
    <col min="28" max="28" width="6.81640625" bestFit="1" customWidth="1"/>
    <col min="29" max="29" width="9.7265625" bestFit="1" customWidth="1"/>
    <col min="30" max="30" width="7.36328125" bestFit="1" customWidth="1"/>
    <col min="31" max="31" width="10.26953125" bestFit="1" customWidth="1"/>
    <col min="32" max="32" width="8" bestFit="1" customWidth="1"/>
    <col min="33" max="33" width="10.90625" bestFit="1" customWidth="1"/>
    <col min="34" max="34" width="8.08984375" bestFit="1" customWidth="1"/>
    <col min="35" max="35" width="11" bestFit="1" customWidth="1"/>
    <col min="36" max="36" width="7.7265625" bestFit="1" customWidth="1"/>
    <col min="37" max="37" width="10.6328125" bestFit="1" customWidth="1"/>
    <col min="38" max="38" width="8.26953125" bestFit="1" customWidth="1"/>
    <col min="39" max="39" width="11.1796875" bestFit="1" customWidth="1"/>
    <col min="40" max="40" width="8.6328125" bestFit="1" customWidth="1"/>
    <col min="41" max="41" width="11.54296875" bestFit="1" customWidth="1"/>
    <col min="42" max="42" width="10.7265625" bestFit="1" customWidth="1"/>
  </cols>
  <sheetData>
    <row r="2" spans="1:6" x14ac:dyDescent="0.35">
      <c r="A2" s="24" t="s">
        <v>99</v>
      </c>
    </row>
    <row r="3" spans="1:6" x14ac:dyDescent="0.35">
      <c r="A3" s="25" t="s">
        <v>1</v>
      </c>
      <c r="B3" s="8" t="s">
        <v>89</v>
      </c>
    </row>
    <row r="5" spans="1:6" x14ac:dyDescent="0.35">
      <c r="A5" s="25" t="s">
        <v>88</v>
      </c>
      <c r="B5" s="25" t="s">
        <v>2</v>
      </c>
      <c r="C5" s="8"/>
    </row>
    <row r="6" spans="1:6" x14ac:dyDescent="0.35">
      <c r="A6" s="25" t="s">
        <v>11</v>
      </c>
      <c r="B6" s="8" t="s">
        <v>33</v>
      </c>
      <c r="C6" s="8" t="s">
        <v>87</v>
      </c>
    </row>
    <row r="7" spans="1:6" x14ac:dyDescent="0.35">
      <c r="A7" s="8" t="s">
        <v>21</v>
      </c>
      <c r="B7" s="36">
        <v>270000</v>
      </c>
      <c r="C7" s="36">
        <v>270000</v>
      </c>
    </row>
    <row r="8" spans="1:6" x14ac:dyDescent="0.35">
      <c r="A8" s="8" t="s">
        <v>28</v>
      </c>
      <c r="B8" s="36">
        <v>61000</v>
      </c>
      <c r="C8" s="36">
        <v>61000</v>
      </c>
    </row>
    <row r="9" spans="1:6" x14ac:dyDescent="0.35">
      <c r="A9" s="8" t="s">
        <v>34</v>
      </c>
      <c r="B9" s="36">
        <v>69000</v>
      </c>
      <c r="C9" s="36">
        <v>69000</v>
      </c>
    </row>
    <row r="10" spans="1:6" x14ac:dyDescent="0.35">
      <c r="A10" s="8" t="s">
        <v>87</v>
      </c>
      <c r="B10" s="36">
        <v>400000</v>
      </c>
      <c r="C10" s="36">
        <v>400000</v>
      </c>
    </row>
    <row r="13" spans="1:6" x14ac:dyDescent="0.35">
      <c r="A13" s="26" t="s">
        <v>100</v>
      </c>
      <c r="B13" s="27"/>
    </row>
    <row r="14" spans="1:6" x14ac:dyDescent="0.35">
      <c r="A14" s="25" t="s">
        <v>1</v>
      </c>
      <c r="B14" s="8" t="s">
        <v>89</v>
      </c>
    </row>
    <row r="16" spans="1:6" x14ac:dyDescent="0.35">
      <c r="A16" s="25" t="s">
        <v>88</v>
      </c>
      <c r="B16" s="25" t="s">
        <v>86</v>
      </c>
      <c r="C16" s="8"/>
      <c r="D16" s="8"/>
      <c r="E16" s="8"/>
      <c r="F16" s="8"/>
    </row>
    <row r="17" spans="1:6" x14ac:dyDescent="0.35">
      <c r="A17" s="25" t="s">
        <v>104</v>
      </c>
      <c r="B17" s="8" t="s">
        <v>33</v>
      </c>
      <c r="C17" s="8" t="s">
        <v>20</v>
      </c>
      <c r="D17" s="8" t="s">
        <v>27</v>
      </c>
      <c r="E17" s="8" t="s">
        <v>40</v>
      </c>
      <c r="F17" s="8" t="s">
        <v>87</v>
      </c>
    </row>
    <row r="18" spans="1:6" x14ac:dyDescent="0.35">
      <c r="A18" s="28" t="s">
        <v>66</v>
      </c>
      <c r="B18" s="8"/>
      <c r="C18" s="8">
        <v>48000</v>
      </c>
      <c r="D18" s="8"/>
      <c r="E18" s="8"/>
      <c r="F18" s="8">
        <v>48000</v>
      </c>
    </row>
    <row r="19" spans="1:6" x14ac:dyDescent="0.35">
      <c r="A19" s="28" t="s">
        <v>56</v>
      </c>
      <c r="B19" s="8">
        <v>150000</v>
      </c>
      <c r="C19" s="8"/>
      <c r="D19" s="8"/>
      <c r="E19" s="8"/>
      <c r="F19" s="8">
        <v>150000</v>
      </c>
    </row>
    <row r="20" spans="1:6" x14ac:dyDescent="0.35">
      <c r="A20" s="28" t="s">
        <v>45</v>
      </c>
      <c r="B20" s="8"/>
      <c r="C20" s="8">
        <v>28000</v>
      </c>
      <c r="D20" s="8"/>
      <c r="E20" s="8"/>
      <c r="F20" s="8">
        <v>28000</v>
      </c>
    </row>
    <row r="21" spans="1:6" x14ac:dyDescent="0.35">
      <c r="A21" s="28" t="s">
        <v>32</v>
      </c>
      <c r="B21" s="8">
        <v>36000</v>
      </c>
      <c r="C21" s="8"/>
      <c r="D21" s="8"/>
      <c r="E21" s="8"/>
      <c r="F21" s="8">
        <v>36000</v>
      </c>
    </row>
    <row r="22" spans="1:6" x14ac:dyDescent="0.35">
      <c r="A22" s="28" t="s">
        <v>50</v>
      </c>
      <c r="B22" s="8"/>
      <c r="C22" s="8"/>
      <c r="D22" s="8"/>
      <c r="E22" s="8">
        <v>32000</v>
      </c>
      <c r="F22" s="8">
        <v>32000</v>
      </c>
    </row>
    <row r="23" spans="1:6" x14ac:dyDescent="0.35">
      <c r="A23" s="28" t="s">
        <v>72</v>
      </c>
      <c r="B23" s="8">
        <v>61000</v>
      </c>
      <c r="C23" s="8"/>
      <c r="D23" s="8"/>
      <c r="E23" s="8"/>
      <c r="F23" s="8">
        <v>61000</v>
      </c>
    </row>
    <row r="24" spans="1:6" x14ac:dyDescent="0.35">
      <c r="A24" s="28" t="s">
        <v>62</v>
      </c>
      <c r="B24" s="8"/>
      <c r="C24" s="8"/>
      <c r="D24" s="8">
        <v>105000</v>
      </c>
      <c r="E24" s="8"/>
      <c r="F24" s="8">
        <v>105000</v>
      </c>
    </row>
    <row r="25" spans="1:6" x14ac:dyDescent="0.35">
      <c r="A25" s="28" t="s">
        <v>42</v>
      </c>
      <c r="B25" s="8"/>
      <c r="C25" s="8"/>
      <c r="D25" s="8">
        <v>54000</v>
      </c>
      <c r="E25" s="8"/>
      <c r="F25" s="8">
        <v>54000</v>
      </c>
    </row>
    <row r="26" spans="1:6" x14ac:dyDescent="0.35">
      <c r="A26" s="28" t="s">
        <v>68</v>
      </c>
      <c r="B26" s="8"/>
      <c r="C26" s="8"/>
      <c r="D26" s="8"/>
      <c r="E26" s="8">
        <v>88000</v>
      </c>
      <c r="F26" s="8">
        <v>88000</v>
      </c>
    </row>
    <row r="27" spans="1:6" x14ac:dyDescent="0.35">
      <c r="A27" s="28" t="s">
        <v>54</v>
      </c>
      <c r="B27" s="8"/>
      <c r="C27" s="8">
        <v>27000</v>
      </c>
      <c r="D27" s="8"/>
      <c r="E27" s="8"/>
      <c r="F27" s="8">
        <v>27000</v>
      </c>
    </row>
    <row r="28" spans="1:6" x14ac:dyDescent="0.35">
      <c r="A28" s="28" t="s">
        <v>64</v>
      </c>
      <c r="B28" s="8">
        <v>33000</v>
      </c>
      <c r="C28" s="8"/>
      <c r="D28" s="8"/>
      <c r="E28" s="8"/>
      <c r="F28" s="8">
        <v>33000</v>
      </c>
    </row>
    <row r="29" spans="1:6" x14ac:dyDescent="0.35">
      <c r="A29" s="28" t="s">
        <v>74</v>
      </c>
      <c r="B29" s="8"/>
      <c r="C29" s="8"/>
      <c r="D29" s="8"/>
      <c r="E29" s="8">
        <v>132000</v>
      </c>
      <c r="F29" s="8">
        <v>132000</v>
      </c>
    </row>
    <row r="30" spans="1:6" x14ac:dyDescent="0.35">
      <c r="A30" s="28" t="s">
        <v>58</v>
      </c>
      <c r="B30" s="8"/>
      <c r="C30" s="8"/>
      <c r="D30" s="8"/>
      <c r="E30" s="8">
        <v>50000</v>
      </c>
      <c r="F30" s="8">
        <v>50000</v>
      </c>
    </row>
    <row r="31" spans="1:6" x14ac:dyDescent="0.35">
      <c r="A31" s="28" t="s">
        <v>25</v>
      </c>
      <c r="B31" s="8"/>
      <c r="C31" s="8"/>
      <c r="D31" s="8">
        <v>45000</v>
      </c>
      <c r="E31" s="8"/>
      <c r="F31" s="8">
        <v>45000</v>
      </c>
    </row>
    <row r="32" spans="1:6" x14ac:dyDescent="0.35">
      <c r="A32" s="28" t="s">
        <v>18</v>
      </c>
      <c r="B32" s="8"/>
      <c r="C32" s="8">
        <v>75000</v>
      </c>
      <c r="D32" s="8"/>
      <c r="E32" s="8"/>
      <c r="F32" s="8">
        <v>75000</v>
      </c>
    </row>
    <row r="33" spans="1:6" x14ac:dyDescent="0.35">
      <c r="A33" s="28" t="s">
        <v>52</v>
      </c>
      <c r="B33" s="8"/>
      <c r="C33" s="8"/>
      <c r="D33" s="8">
        <v>42000</v>
      </c>
      <c r="E33" s="8"/>
      <c r="F33" s="8">
        <v>42000</v>
      </c>
    </row>
    <row r="34" spans="1:6" x14ac:dyDescent="0.35">
      <c r="A34" s="28" t="s">
        <v>60</v>
      </c>
      <c r="B34" s="8"/>
      <c r="C34" s="8">
        <v>38000</v>
      </c>
      <c r="D34" s="8"/>
      <c r="E34" s="8"/>
      <c r="F34" s="8">
        <v>38000</v>
      </c>
    </row>
    <row r="35" spans="1:6" x14ac:dyDescent="0.35">
      <c r="A35" s="28" t="s">
        <v>38</v>
      </c>
      <c r="B35" s="8"/>
      <c r="C35" s="8"/>
      <c r="D35" s="8"/>
      <c r="E35" s="8">
        <v>90000</v>
      </c>
      <c r="F35" s="8">
        <v>90000</v>
      </c>
    </row>
    <row r="36" spans="1:6" x14ac:dyDescent="0.35">
      <c r="A36" s="28" t="s">
        <v>70</v>
      </c>
      <c r="B36" s="8"/>
      <c r="C36" s="8"/>
      <c r="D36" s="8">
        <v>26000</v>
      </c>
      <c r="E36" s="8"/>
      <c r="F36" s="8">
        <v>26000</v>
      </c>
    </row>
    <row r="37" spans="1:6" x14ac:dyDescent="0.35">
      <c r="A37" s="28" t="s">
        <v>48</v>
      </c>
      <c r="B37" s="8">
        <v>120000</v>
      </c>
      <c r="C37" s="8"/>
      <c r="D37" s="8"/>
      <c r="E37" s="8"/>
      <c r="F37" s="8">
        <v>120000</v>
      </c>
    </row>
    <row r="38" spans="1:6" x14ac:dyDescent="0.35">
      <c r="A38" s="28" t="s">
        <v>87</v>
      </c>
      <c r="B38" s="8">
        <v>400000</v>
      </c>
      <c r="C38" s="8">
        <v>216000</v>
      </c>
      <c r="D38" s="8">
        <v>272000</v>
      </c>
      <c r="E38" s="8">
        <v>392000</v>
      </c>
      <c r="F38" s="8">
        <v>1280000</v>
      </c>
    </row>
    <row r="41" spans="1:6" x14ac:dyDescent="0.35">
      <c r="A41" s="29" t="s">
        <v>101</v>
      </c>
    </row>
    <row r="43" spans="1:6" x14ac:dyDescent="0.35">
      <c r="A43" s="35" t="s">
        <v>5</v>
      </c>
      <c r="B43" s="35"/>
    </row>
    <row r="44" spans="1:6" x14ac:dyDescent="0.35">
      <c r="A44" s="22" t="s">
        <v>33</v>
      </c>
    </row>
    <row r="46" spans="1:6" x14ac:dyDescent="0.35">
      <c r="A46" s="35" t="s">
        <v>6</v>
      </c>
      <c r="B46" s="35"/>
    </row>
    <row r="47" spans="1:6" x14ac:dyDescent="0.35">
      <c r="A47" s="22" t="s">
        <v>21</v>
      </c>
    </row>
    <row r="49" spans="1:2" x14ac:dyDescent="0.35">
      <c r="A49" s="35" t="s">
        <v>7</v>
      </c>
      <c r="B49" s="35"/>
    </row>
    <row r="50" spans="1:2" x14ac:dyDescent="0.35">
      <c r="A50" s="22" t="s">
        <v>56</v>
      </c>
    </row>
    <row r="51" spans="1:2" x14ac:dyDescent="0.35">
      <c r="A51" s="23"/>
    </row>
    <row r="53" spans="1:2" x14ac:dyDescent="0.35">
      <c r="A53" s="35" t="s">
        <v>102</v>
      </c>
      <c r="B53" s="35"/>
    </row>
    <row r="71" spans="1:2" x14ac:dyDescent="0.35">
      <c r="A71" s="35" t="s">
        <v>103</v>
      </c>
      <c r="B71" s="35"/>
    </row>
  </sheetData>
  <mergeCells count="5">
    <mergeCell ref="A43:B43"/>
    <mergeCell ref="A46:B46"/>
    <mergeCell ref="A49:B49"/>
    <mergeCell ref="A53:B53"/>
    <mergeCell ref="A71:B71"/>
  </mergeCell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5E024-9ADE-4E95-9054-CD601B804912}">
  <dimension ref="A2:L31"/>
  <sheetViews>
    <sheetView workbookViewId="0">
      <selection activeCell="G7" sqref="G7"/>
    </sheetView>
  </sheetViews>
  <sheetFormatPr defaultRowHeight="14.5" x14ac:dyDescent="0.35"/>
  <cols>
    <col min="2" max="2" width="12.36328125" bestFit="1" customWidth="1"/>
    <col min="6" max="6" width="11.08984375" customWidth="1"/>
  </cols>
  <sheetData>
    <row r="2" spans="1:12" x14ac:dyDescent="0.35">
      <c r="B2" s="20" t="s">
        <v>90</v>
      </c>
      <c r="C2">
        <v>500000</v>
      </c>
    </row>
    <row r="4" spans="1:12" ht="29" x14ac:dyDescent="0.35">
      <c r="B4" s="9" t="s">
        <v>91</v>
      </c>
      <c r="C4" s="21">
        <v>0.4</v>
      </c>
      <c r="D4" s="30" t="s">
        <v>93</v>
      </c>
      <c r="E4" s="30"/>
      <c r="F4" s="30"/>
      <c r="G4" s="30"/>
      <c r="H4" s="30"/>
      <c r="I4" s="30"/>
      <c r="J4" s="30"/>
      <c r="K4" s="30"/>
      <c r="L4" s="30"/>
    </row>
    <row r="6" spans="1:12" x14ac:dyDescent="0.35">
      <c r="B6" s="20" t="s">
        <v>92</v>
      </c>
      <c r="C6">
        <f>500000*(1+C4)</f>
        <v>700000</v>
      </c>
    </row>
    <row r="8" spans="1:12" x14ac:dyDescent="0.35">
      <c r="B8" s="20" t="s">
        <v>94</v>
      </c>
      <c r="C8" s="20" t="s">
        <v>95</v>
      </c>
    </row>
    <row r="9" spans="1:12" x14ac:dyDescent="0.35">
      <c r="B9" s="19">
        <v>0.05</v>
      </c>
      <c r="C9" s="8">
        <f>500000*(1+B9)</f>
        <v>525000</v>
      </c>
    </row>
    <row r="10" spans="1:12" x14ac:dyDescent="0.35">
      <c r="B10" s="19">
        <v>0.1</v>
      </c>
      <c r="C10" s="8">
        <f t="shared" ref="C10:C12" si="0">500000*(1+B10)</f>
        <v>550000</v>
      </c>
    </row>
    <row r="11" spans="1:12" x14ac:dyDescent="0.35">
      <c r="B11" s="19">
        <v>0.15</v>
      </c>
      <c r="C11" s="8">
        <f t="shared" si="0"/>
        <v>575000</v>
      </c>
    </row>
    <row r="12" spans="1:12" x14ac:dyDescent="0.35">
      <c r="B12" s="19">
        <v>0.2</v>
      </c>
      <c r="C12" s="8">
        <f t="shared" si="0"/>
        <v>600000</v>
      </c>
    </row>
    <row r="15" spans="1:12" x14ac:dyDescent="0.35">
      <c r="A15" s="23"/>
      <c r="B15" s="23"/>
      <c r="C15" s="23"/>
      <c r="D15" s="23"/>
      <c r="E15" s="23"/>
      <c r="F15" s="23"/>
      <c r="G15" s="23"/>
      <c r="H15" s="23"/>
      <c r="I15" s="23"/>
    </row>
    <row r="16" spans="1:12" x14ac:dyDescent="0.35">
      <c r="I16" s="23"/>
    </row>
    <row r="17" spans="9:9" x14ac:dyDescent="0.35">
      <c r="I17" s="23"/>
    </row>
    <row r="18" spans="9:9" x14ac:dyDescent="0.35">
      <c r="I18" s="23"/>
    </row>
    <row r="19" spans="9:9" x14ac:dyDescent="0.35">
      <c r="I19" s="23"/>
    </row>
    <row r="20" spans="9:9" x14ac:dyDescent="0.35">
      <c r="I20" s="23"/>
    </row>
    <row r="21" spans="9:9" x14ac:dyDescent="0.35">
      <c r="I21" s="23"/>
    </row>
    <row r="22" spans="9:9" x14ac:dyDescent="0.35">
      <c r="I22" s="23"/>
    </row>
    <row r="23" spans="9:9" x14ac:dyDescent="0.35">
      <c r="I23" s="23"/>
    </row>
    <row r="24" spans="9:9" x14ac:dyDescent="0.35">
      <c r="I24" s="23"/>
    </row>
    <row r="25" spans="9:9" x14ac:dyDescent="0.35">
      <c r="I25" s="23"/>
    </row>
    <row r="26" spans="9:9" x14ac:dyDescent="0.35">
      <c r="I26" s="23"/>
    </row>
    <row r="27" spans="9:9" x14ac:dyDescent="0.35">
      <c r="I27" s="23"/>
    </row>
    <row r="28" spans="9:9" x14ac:dyDescent="0.35">
      <c r="I28" s="23"/>
    </row>
    <row r="29" spans="9:9" x14ac:dyDescent="0.35">
      <c r="I29" s="23"/>
    </row>
    <row r="30" spans="9:9" x14ac:dyDescent="0.35">
      <c r="I30" s="23"/>
    </row>
    <row r="31" spans="9:9" x14ac:dyDescent="0.35">
      <c r="I31" s="23"/>
    </row>
  </sheetData>
  <mergeCells count="1">
    <mergeCell ref="D4:L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CB939-24E5-4752-AB58-0A30EEC31CD8}">
  <dimension ref="B2:M33"/>
  <sheetViews>
    <sheetView topLeftCell="A22" workbookViewId="0">
      <selection activeCell="B37" sqref="B37"/>
    </sheetView>
  </sheetViews>
  <sheetFormatPr defaultRowHeight="14.5" x14ac:dyDescent="0.35"/>
  <cols>
    <col min="2" max="2" width="14.54296875" bestFit="1" customWidth="1"/>
    <col min="8" max="8" width="12.6328125" bestFit="1" customWidth="1"/>
    <col min="9" max="9" width="9.08984375" bestFit="1" customWidth="1"/>
    <col min="13" max="13" width="16.26953125" bestFit="1" customWidth="1"/>
    <col min="14" max="14" width="14.54296875" bestFit="1" customWidth="1"/>
  </cols>
  <sheetData>
    <row r="2" spans="2:13" ht="43.5" x14ac:dyDescent="0.35">
      <c r="B2" s="4" t="s">
        <v>10</v>
      </c>
      <c r="C2" s="4" t="s">
        <v>0</v>
      </c>
      <c r="D2" s="4" t="s">
        <v>1</v>
      </c>
      <c r="E2" s="4" t="s">
        <v>2</v>
      </c>
      <c r="F2" s="4" t="s">
        <v>11</v>
      </c>
      <c r="G2" s="5" t="s">
        <v>3</v>
      </c>
      <c r="H2" s="5" t="s">
        <v>12</v>
      </c>
      <c r="I2" s="4" t="s">
        <v>13</v>
      </c>
      <c r="J2" s="4" t="s">
        <v>14</v>
      </c>
      <c r="K2" s="4" t="s">
        <v>4</v>
      </c>
      <c r="L2" s="5" t="s">
        <v>15</v>
      </c>
      <c r="M2" s="4" t="s">
        <v>16</v>
      </c>
    </row>
    <row r="3" spans="2:13" x14ac:dyDescent="0.35">
      <c r="B3" s="1" t="s">
        <v>17</v>
      </c>
      <c r="C3" s="1" t="s">
        <v>18</v>
      </c>
      <c r="D3" s="1" t="s">
        <v>19</v>
      </c>
      <c r="E3" s="1" t="s">
        <v>20</v>
      </c>
      <c r="F3" s="1" t="s">
        <v>21</v>
      </c>
      <c r="G3" s="2">
        <v>75000</v>
      </c>
      <c r="H3" s="2">
        <v>3</v>
      </c>
      <c r="I3" s="3">
        <v>46027</v>
      </c>
      <c r="J3" s="1" t="s">
        <v>22</v>
      </c>
      <c r="K3" s="1" t="s">
        <v>23</v>
      </c>
      <c r="L3" s="2">
        <v>2024</v>
      </c>
      <c r="M3" s="3">
        <v>45458</v>
      </c>
    </row>
    <row r="4" spans="2:13" ht="29" x14ac:dyDescent="0.35">
      <c r="B4" s="1" t="s">
        <v>24</v>
      </c>
      <c r="C4" s="1" t="s">
        <v>25</v>
      </c>
      <c r="D4" s="1" t="s">
        <v>26</v>
      </c>
      <c r="E4" s="1" t="s">
        <v>27</v>
      </c>
      <c r="F4" s="1" t="s">
        <v>28</v>
      </c>
      <c r="G4" s="2">
        <v>45000</v>
      </c>
      <c r="H4" s="2">
        <v>5</v>
      </c>
      <c r="I4" s="3">
        <v>46029</v>
      </c>
      <c r="J4" s="1" t="s">
        <v>29</v>
      </c>
      <c r="K4" s="1" t="s">
        <v>30</v>
      </c>
      <c r="L4" s="2">
        <v>2023</v>
      </c>
      <c r="M4" s="3">
        <v>45148</v>
      </c>
    </row>
    <row r="5" spans="2:13" x14ac:dyDescent="0.35">
      <c r="B5" s="1" t="s">
        <v>31</v>
      </c>
      <c r="C5" s="1" t="s">
        <v>32</v>
      </c>
      <c r="D5" s="1" t="s">
        <v>19</v>
      </c>
      <c r="E5" s="1" t="s">
        <v>33</v>
      </c>
      <c r="F5" s="1" t="s">
        <v>34</v>
      </c>
      <c r="G5" s="2">
        <v>36000</v>
      </c>
      <c r="H5" s="2">
        <v>4</v>
      </c>
      <c r="I5" s="3">
        <v>46032</v>
      </c>
      <c r="J5" s="1" t="s">
        <v>35</v>
      </c>
      <c r="K5" s="1" t="s">
        <v>36</v>
      </c>
      <c r="L5" s="2">
        <v>2020</v>
      </c>
      <c r="M5" s="3">
        <v>43883</v>
      </c>
    </row>
    <row r="6" spans="2:13" x14ac:dyDescent="0.35">
      <c r="B6" s="1" t="s">
        <v>37</v>
      </c>
      <c r="C6" s="1" t="s">
        <v>38</v>
      </c>
      <c r="D6" s="1" t="s">
        <v>39</v>
      </c>
      <c r="E6" s="1" t="s">
        <v>40</v>
      </c>
      <c r="F6" s="1" t="s">
        <v>21</v>
      </c>
      <c r="G6" s="2">
        <v>90000</v>
      </c>
      <c r="H6" s="2">
        <v>2</v>
      </c>
      <c r="I6" s="3">
        <v>46034</v>
      </c>
      <c r="J6" s="1" t="s">
        <v>22</v>
      </c>
      <c r="K6" s="1" t="s">
        <v>23</v>
      </c>
      <c r="L6" s="2">
        <v>2026</v>
      </c>
      <c r="M6" s="3">
        <v>46027</v>
      </c>
    </row>
    <row r="7" spans="2:13" ht="29" x14ac:dyDescent="0.35">
      <c r="B7" s="1" t="s">
        <v>41</v>
      </c>
      <c r="C7" s="1" t="s">
        <v>42</v>
      </c>
      <c r="D7" s="1" t="s">
        <v>19</v>
      </c>
      <c r="E7" s="1" t="s">
        <v>27</v>
      </c>
      <c r="F7" s="1" t="s">
        <v>28</v>
      </c>
      <c r="G7" s="2">
        <v>54000</v>
      </c>
      <c r="H7" s="2">
        <v>6</v>
      </c>
      <c r="I7" s="3">
        <v>46037</v>
      </c>
      <c r="J7" s="1" t="s">
        <v>43</v>
      </c>
      <c r="K7" s="1" t="s">
        <v>30</v>
      </c>
      <c r="L7" s="2">
        <v>2024</v>
      </c>
      <c r="M7" s="3">
        <v>45553</v>
      </c>
    </row>
    <row r="8" spans="2:13" x14ac:dyDescent="0.35">
      <c r="B8" s="1" t="s">
        <v>44</v>
      </c>
      <c r="C8" s="1" t="s">
        <v>45</v>
      </c>
      <c r="D8" s="1" t="s">
        <v>46</v>
      </c>
      <c r="E8" s="1" t="s">
        <v>20</v>
      </c>
      <c r="F8" s="1" t="s">
        <v>34</v>
      </c>
      <c r="G8" s="2">
        <v>28000</v>
      </c>
      <c r="H8" s="2">
        <v>3</v>
      </c>
      <c r="I8" s="3">
        <v>46040</v>
      </c>
      <c r="J8" s="1" t="s">
        <v>22</v>
      </c>
      <c r="K8" s="1" t="s">
        <v>36</v>
      </c>
      <c r="L8" s="2">
        <v>2023</v>
      </c>
      <c r="M8" s="3">
        <v>45010</v>
      </c>
    </row>
    <row r="9" spans="2:13" ht="29" x14ac:dyDescent="0.35">
      <c r="B9" s="1" t="s">
        <v>47</v>
      </c>
      <c r="C9" s="1" t="s">
        <v>48</v>
      </c>
      <c r="D9" s="1" t="s">
        <v>26</v>
      </c>
      <c r="E9" s="1" t="s">
        <v>33</v>
      </c>
      <c r="F9" s="1" t="s">
        <v>21</v>
      </c>
      <c r="G9" s="2">
        <v>120000</v>
      </c>
      <c r="H9" s="2">
        <v>4</v>
      </c>
      <c r="I9" s="3">
        <v>46042</v>
      </c>
      <c r="J9" s="1" t="s">
        <v>29</v>
      </c>
      <c r="K9" s="1" t="s">
        <v>23</v>
      </c>
      <c r="L9" s="2">
        <v>2020</v>
      </c>
      <c r="M9" s="3">
        <v>44024</v>
      </c>
    </row>
    <row r="10" spans="2:13" x14ac:dyDescent="0.35">
      <c r="B10" s="1" t="s">
        <v>49</v>
      </c>
      <c r="C10" s="1" t="s">
        <v>50</v>
      </c>
      <c r="D10" s="1" t="s">
        <v>19</v>
      </c>
      <c r="E10" s="1" t="s">
        <v>40</v>
      </c>
      <c r="F10" s="1" t="s">
        <v>28</v>
      </c>
      <c r="G10" s="2">
        <v>32000</v>
      </c>
      <c r="H10" s="2">
        <v>4</v>
      </c>
      <c r="I10" s="3">
        <v>46045</v>
      </c>
      <c r="J10" s="1" t="s">
        <v>35</v>
      </c>
      <c r="K10" s="1" t="s">
        <v>30</v>
      </c>
      <c r="L10" s="2">
        <v>2026</v>
      </c>
      <c r="M10" s="3">
        <v>46073</v>
      </c>
    </row>
    <row r="11" spans="2:13" x14ac:dyDescent="0.35">
      <c r="B11" s="1" t="s">
        <v>51</v>
      </c>
      <c r="C11" s="1" t="s">
        <v>52</v>
      </c>
      <c r="D11" s="1" t="s">
        <v>46</v>
      </c>
      <c r="E11" s="1" t="s">
        <v>27</v>
      </c>
      <c r="F11" s="1" t="s">
        <v>34</v>
      </c>
      <c r="G11" s="2">
        <v>42000</v>
      </c>
      <c r="H11" s="2">
        <v>5</v>
      </c>
      <c r="I11" s="3">
        <v>46047</v>
      </c>
      <c r="J11" s="1" t="s">
        <v>22</v>
      </c>
      <c r="K11" s="1" t="s">
        <v>30</v>
      </c>
      <c r="L11" s="2">
        <v>2024</v>
      </c>
      <c r="M11" s="3">
        <v>45604</v>
      </c>
    </row>
    <row r="12" spans="2:13" ht="29" x14ac:dyDescent="0.35">
      <c r="B12" s="1" t="s">
        <v>53</v>
      </c>
      <c r="C12" s="1" t="s">
        <v>54</v>
      </c>
      <c r="D12" s="1" t="s">
        <v>39</v>
      </c>
      <c r="E12" s="1" t="s">
        <v>20</v>
      </c>
      <c r="F12" s="1" t="s">
        <v>28</v>
      </c>
      <c r="G12" s="2">
        <v>27000</v>
      </c>
      <c r="H12" s="2">
        <v>3</v>
      </c>
      <c r="I12" s="3">
        <v>46050</v>
      </c>
      <c r="J12" s="1" t="s">
        <v>43</v>
      </c>
      <c r="K12" s="1" t="s">
        <v>36</v>
      </c>
      <c r="L12" s="2">
        <v>2023</v>
      </c>
      <c r="M12" s="3">
        <v>45060</v>
      </c>
    </row>
    <row r="13" spans="2:13" ht="29" x14ac:dyDescent="0.35">
      <c r="B13" s="1" t="s">
        <v>55</v>
      </c>
      <c r="C13" s="1" t="s">
        <v>56</v>
      </c>
      <c r="D13" s="1" t="s">
        <v>19</v>
      </c>
      <c r="E13" s="1" t="s">
        <v>33</v>
      </c>
      <c r="F13" s="1" t="s">
        <v>21</v>
      </c>
      <c r="G13" s="2">
        <v>150000</v>
      </c>
      <c r="H13" s="2">
        <v>5</v>
      </c>
      <c r="I13" s="3">
        <v>46055</v>
      </c>
      <c r="J13" s="1" t="s">
        <v>29</v>
      </c>
      <c r="K13" s="1" t="s">
        <v>23</v>
      </c>
      <c r="L13" s="2">
        <v>2020</v>
      </c>
      <c r="M13" s="3">
        <v>43860</v>
      </c>
    </row>
    <row r="14" spans="2:13" ht="29" x14ac:dyDescent="0.35">
      <c r="B14" s="1" t="s">
        <v>57</v>
      </c>
      <c r="C14" s="1" t="s">
        <v>58</v>
      </c>
      <c r="D14" s="1" t="s">
        <v>26</v>
      </c>
      <c r="E14" s="1" t="s">
        <v>40</v>
      </c>
      <c r="F14" s="1" t="s">
        <v>34</v>
      </c>
      <c r="G14" s="2">
        <v>50000</v>
      </c>
      <c r="H14" s="2">
        <v>6</v>
      </c>
      <c r="I14" s="3">
        <v>46058</v>
      </c>
      <c r="J14" s="1" t="s">
        <v>22</v>
      </c>
      <c r="K14" s="1" t="s">
        <v>30</v>
      </c>
      <c r="L14" s="2">
        <v>2024</v>
      </c>
      <c r="M14" s="3">
        <v>45489</v>
      </c>
    </row>
    <row r="15" spans="2:13" x14ac:dyDescent="0.35">
      <c r="B15" s="1" t="s">
        <v>59</v>
      </c>
      <c r="C15" s="1" t="s">
        <v>60</v>
      </c>
      <c r="D15" s="1" t="s">
        <v>46</v>
      </c>
      <c r="E15" s="1" t="s">
        <v>20</v>
      </c>
      <c r="F15" s="1" t="s">
        <v>28</v>
      </c>
      <c r="G15" s="2">
        <v>38000</v>
      </c>
      <c r="H15" s="2">
        <v>4</v>
      </c>
      <c r="I15" s="3">
        <v>46061</v>
      </c>
      <c r="J15" s="1" t="s">
        <v>35</v>
      </c>
      <c r="K15" s="1" t="s">
        <v>36</v>
      </c>
      <c r="L15" s="2">
        <v>2026</v>
      </c>
      <c r="M15" s="3">
        <v>46084</v>
      </c>
    </row>
    <row r="16" spans="2:13" x14ac:dyDescent="0.35">
      <c r="B16" s="1" t="s">
        <v>61</v>
      </c>
      <c r="C16" s="1" t="s">
        <v>62</v>
      </c>
      <c r="D16" s="1" t="s">
        <v>19</v>
      </c>
      <c r="E16" s="1" t="s">
        <v>27</v>
      </c>
      <c r="F16" s="1" t="s">
        <v>21</v>
      </c>
      <c r="G16" s="2">
        <v>105000</v>
      </c>
      <c r="H16" s="2">
        <v>3</v>
      </c>
      <c r="I16" s="3">
        <v>46064</v>
      </c>
      <c r="J16" s="1" t="s">
        <v>22</v>
      </c>
      <c r="K16" s="1" t="s">
        <v>23</v>
      </c>
      <c r="L16" s="2">
        <v>2023</v>
      </c>
      <c r="M16" s="3">
        <v>45220</v>
      </c>
    </row>
    <row r="17" spans="2:13" ht="29" x14ac:dyDescent="0.35">
      <c r="B17" s="1" t="s">
        <v>63</v>
      </c>
      <c r="C17" s="1" t="s">
        <v>64</v>
      </c>
      <c r="D17" s="1" t="s">
        <v>39</v>
      </c>
      <c r="E17" s="1" t="s">
        <v>33</v>
      </c>
      <c r="F17" s="1" t="s">
        <v>34</v>
      </c>
      <c r="G17" s="2">
        <v>33000</v>
      </c>
      <c r="H17" s="2">
        <v>3</v>
      </c>
      <c r="I17" s="3">
        <v>46067</v>
      </c>
      <c r="J17" s="1" t="s">
        <v>43</v>
      </c>
      <c r="K17" s="1" t="s">
        <v>30</v>
      </c>
      <c r="L17" s="2">
        <v>2020</v>
      </c>
      <c r="M17" s="3">
        <v>44085</v>
      </c>
    </row>
    <row r="18" spans="2:13" ht="29" x14ac:dyDescent="0.35">
      <c r="B18" s="1" t="s">
        <v>65</v>
      </c>
      <c r="C18" s="1" t="s">
        <v>66</v>
      </c>
      <c r="D18" s="1" t="s">
        <v>26</v>
      </c>
      <c r="E18" s="1" t="s">
        <v>20</v>
      </c>
      <c r="F18" s="1" t="s">
        <v>28</v>
      </c>
      <c r="G18" s="2">
        <v>48000</v>
      </c>
      <c r="H18" s="2">
        <v>5</v>
      </c>
      <c r="I18" s="3">
        <v>46070</v>
      </c>
      <c r="J18" s="1" t="s">
        <v>29</v>
      </c>
      <c r="K18" s="1" t="s">
        <v>30</v>
      </c>
      <c r="L18" s="2">
        <v>2024</v>
      </c>
      <c r="M18" s="3">
        <v>45409</v>
      </c>
    </row>
    <row r="19" spans="2:13" x14ac:dyDescent="0.35">
      <c r="B19" s="1" t="s">
        <v>67</v>
      </c>
      <c r="C19" s="1" t="s">
        <v>68</v>
      </c>
      <c r="D19" s="1" t="s">
        <v>19</v>
      </c>
      <c r="E19" s="1" t="s">
        <v>40</v>
      </c>
      <c r="F19" s="1" t="s">
        <v>21</v>
      </c>
      <c r="G19" s="2">
        <v>88000</v>
      </c>
      <c r="H19" s="2">
        <v>2</v>
      </c>
      <c r="I19" s="3">
        <v>46073</v>
      </c>
      <c r="J19" s="1" t="s">
        <v>22</v>
      </c>
      <c r="K19" s="1" t="s">
        <v>23</v>
      </c>
      <c r="L19" s="2">
        <v>2023</v>
      </c>
      <c r="M19" s="3">
        <v>45083</v>
      </c>
    </row>
    <row r="20" spans="2:13" x14ac:dyDescent="0.35">
      <c r="B20" s="1" t="s">
        <v>69</v>
      </c>
      <c r="C20" s="1" t="s">
        <v>70</v>
      </c>
      <c r="D20" s="1" t="s">
        <v>46</v>
      </c>
      <c r="E20" s="1" t="s">
        <v>27</v>
      </c>
      <c r="F20" s="1" t="s">
        <v>34</v>
      </c>
      <c r="G20" s="2">
        <v>26000</v>
      </c>
      <c r="H20" s="2">
        <v>2</v>
      </c>
      <c r="I20" s="3">
        <v>46076</v>
      </c>
      <c r="J20" s="1" t="s">
        <v>35</v>
      </c>
      <c r="K20" s="1" t="s">
        <v>36</v>
      </c>
      <c r="L20" s="2">
        <v>2020</v>
      </c>
      <c r="M20" s="3">
        <v>44184</v>
      </c>
    </row>
    <row r="21" spans="2:13" ht="29" x14ac:dyDescent="0.35">
      <c r="B21" s="1" t="s">
        <v>71</v>
      </c>
      <c r="C21" s="1" t="s">
        <v>72</v>
      </c>
      <c r="D21" s="1" t="s">
        <v>19</v>
      </c>
      <c r="E21" s="1" t="s">
        <v>33</v>
      </c>
      <c r="F21" s="1" t="s">
        <v>28</v>
      </c>
      <c r="G21" s="2">
        <v>61000</v>
      </c>
      <c r="H21" s="2">
        <v>7</v>
      </c>
      <c r="I21" s="3">
        <v>46078</v>
      </c>
      <c r="J21" s="1" t="s">
        <v>43</v>
      </c>
      <c r="K21" s="1" t="s">
        <v>30</v>
      </c>
      <c r="L21" s="2">
        <v>2026</v>
      </c>
      <c r="M21" s="3">
        <v>46127</v>
      </c>
    </row>
    <row r="22" spans="2:13" ht="29" x14ac:dyDescent="0.35">
      <c r="B22" s="1" t="s">
        <v>73</v>
      </c>
      <c r="C22" s="1" t="s">
        <v>74</v>
      </c>
      <c r="D22" s="1" t="s">
        <v>26</v>
      </c>
      <c r="E22" s="1" t="s">
        <v>40</v>
      </c>
      <c r="F22" s="1" t="s">
        <v>21</v>
      </c>
      <c r="G22" s="2">
        <v>132000</v>
      </c>
      <c r="H22" s="2">
        <v>4</v>
      </c>
      <c r="I22" s="3">
        <v>46081</v>
      </c>
      <c r="J22" s="1" t="s">
        <v>22</v>
      </c>
      <c r="K22" s="1" t="s">
        <v>23</v>
      </c>
      <c r="L22" s="2">
        <v>2024</v>
      </c>
      <c r="M22" s="3">
        <v>45574</v>
      </c>
    </row>
    <row r="26" spans="2:13" x14ac:dyDescent="0.35">
      <c r="B26" s="18" t="s">
        <v>105</v>
      </c>
    </row>
    <row r="27" spans="2:13" x14ac:dyDescent="0.35">
      <c r="B27" s="39">
        <f ca="1">NOW()</f>
        <v>46300.664656828703</v>
      </c>
    </row>
    <row r="28" spans="2:13" ht="29" x14ac:dyDescent="0.35">
      <c r="J28" s="37" t="s">
        <v>109</v>
      </c>
    </row>
    <row r="29" spans="2:13" ht="29" x14ac:dyDescent="0.35">
      <c r="B29" s="37" t="s">
        <v>106</v>
      </c>
      <c r="D29" s="37" t="s">
        <v>107</v>
      </c>
      <c r="F29" s="37" t="s">
        <v>108</v>
      </c>
      <c r="H29" s="38" t="s">
        <v>8</v>
      </c>
      <c r="J29" s="38" t="s">
        <v>96</v>
      </c>
      <c r="K29" s="37" t="s">
        <v>110</v>
      </c>
      <c r="L29" s="38" t="s">
        <v>97</v>
      </c>
      <c r="M29" s="38" t="s">
        <v>9</v>
      </c>
    </row>
    <row r="30" spans="2:13" x14ac:dyDescent="0.35">
      <c r="B30" s="8">
        <f>SUM(G5:G24)</f>
        <v>1160000</v>
      </c>
      <c r="D30" s="8">
        <f>AVERAGE(G5:G24)</f>
        <v>64444.444444444445</v>
      </c>
      <c r="F30" s="8">
        <f>MAX(G5:G24)</f>
        <v>150000</v>
      </c>
      <c r="H30" s="8" t="str">
        <f>_xlfn.XLOOKUP(MAX(G5:G24),G5:G24,C5:C24,"Value not found")</f>
        <v>Ajay</v>
      </c>
      <c r="J30" s="8" t="s">
        <v>33</v>
      </c>
      <c r="K30" s="8">
        <f>SUMIF(E5:E24,"=East",G5:G24)</f>
        <v>400000</v>
      </c>
      <c r="L30" s="8">
        <f>RANK(K30,K30:K33,0)</f>
        <v>1</v>
      </c>
      <c r="M30" s="8" t="str">
        <f>IF(K30=MAX(K30:K33),"Best Region","Need to improve")</f>
        <v>Best Region</v>
      </c>
    </row>
    <row r="31" spans="2:13" x14ac:dyDescent="0.35">
      <c r="J31" s="8" t="s">
        <v>40</v>
      </c>
      <c r="K31" s="8">
        <f>SUMIF(E5:E24,"=West",G5:G24)</f>
        <v>392000</v>
      </c>
      <c r="L31" s="8">
        <f>RANK(K31,K30:K33,0)</f>
        <v>2</v>
      </c>
      <c r="M31" s="8" t="str">
        <f>IF(K31=MAX(K30:K33),"Best Region","Need to improve")</f>
        <v>Need to improve</v>
      </c>
    </row>
    <row r="32" spans="2:13" x14ac:dyDescent="0.35">
      <c r="J32" s="8" t="s">
        <v>27</v>
      </c>
      <c r="K32" s="8">
        <f>SUMIF(E5:E24,"=South",G5:G24)</f>
        <v>227000</v>
      </c>
      <c r="L32" s="8">
        <f>RANK(K32,K30:K33,0)</f>
        <v>3</v>
      </c>
      <c r="M32" s="8" t="str">
        <f>IF(K32=MAX(K30:K33),"Best Region","Need to improve")</f>
        <v>Need to improve</v>
      </c>
    </row>
    <row r="33" spans="10:13" x14ac:dyDescent="0.35">
      <c r="J33" s="8" t="s">
        <v>20</v>
      </c>
      <c r="K33" s="8">
        <f>SUMIF(E5:E24,"=North",G5:G24)</f>
        <v>141000</v>
      </c>
      <c r="L33" s="8">
        <f>RANK(K33,K30:K33,0)</f>
        <v>4</v>
      </c>
      <c r="M33" s="8" t="str">
        <f>IF(K33=MAX(K30:K33),"Best Region","Need to improve")</f>
        <v>Need to improve</v>
      </c>
    </row>
  </sheetData>
  <sortState xmlns:xlrd2="http://schemas.microsoft.com/office/spreadsheetml/2017/richdata2" ref="J36:L39">
    <sortCondition ref="L36:L3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Generate_Summary">
                <anchor moveWithCells="1">
                  <from>
                    <xdr:col>0</xdr:col>
                    <xdr:colOff>590550</xdr:colOff>
                    <xdr:row>22</xdr:row>
                    <xdr:rowOff>177800</xdr:rowOff>
                  </from>
                  <to>
                    <xdr:col>3</xdr:col>
                    <xdr:colOff>57150</xdr:colOff>
                    <xdr:row>24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8D756-AFED-46AB-869F-FF5EBBD892C3}">
  <dimension ref="B2:M17"/>
  <sheetViews>
    <sheetView tabSelected="1" workbookViewId="0">
      <selection activeCell="C23" sqref="C23"/>
    </sheetView>
  </sheetViews>
  <sheetFormatPr defaultRowHeight="14.5" x14ac:dyDescent="0.35"/>
  <sheetData>
    <row r="2" spans="2:13" x14ac:dyDescent="0.35">
      <c r="B2" s="41" t="s">
        <v>111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</row>
    <row r="3" spans="2:13" x14ac:dyDescent="0.35"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 x14ac:dyDescent="0.35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 x14ac:dyDescent="0.35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2:13" x14ac:dyDescent="0.35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</row>
    <row r="7" spans="2:13" x14ac:dyDescent="0.3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2:13" x14ac:dyDescent="0.3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x14ac:dyDescent="0.3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2:13" x14ac:dyDescent="0.3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x14ac:dyDescent="0.3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2:13" x14ac:dyDescent="0.3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2:13" x14ac:dyDescent="0.3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2:13" x14ac:dyDescent="0.3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2:13" x14ac:dyDescent="0.3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</row>
    <row r="16" spans="2:13" x14ac:dyDescent="0.3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2:13" x14ac:dyDescent="0.35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</sheetData>
  <mergeCells count="1">
    <mergeCell ref="B2:M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1-Usefull insights</vt:lpstr>
      <vt:lpstr>2-WHO CAN GET BONUS</vt:lpstr>
      <vt:lpstr>3-FIND EMPLOYEE DETAILS</vt:lpstr>
      <vt:lpstr>4-Analys by pivot table</vt:lpstr>
      <vt:lpstr>5-GOAL ACHIVE AND SENERIO</vt:lpstr>
      <vt:lpstr>6-MACRO FOR SUMMARY</vt:lpstr>
      <vt:lpstr>RECOMMENDATION TO MANAGEMENT</vt:lpstr>
      <vt:lpstr>'1-Usefull insights'!Extract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chithra shree s</dc:creator>
  <cp:lastModifiedBy>Admin</cp:lastModifiedBy>
  <dcterms:created xsi:type="dcterms:W3CDTF">2026-08-14T07:54:05Z</dcterms:created>
  <dcterms:modified xsi:type="dcterms:W3CDTF">2026-10-05T10:27:21Z</dcterms:modified>
</cp:coreProperties>
</file>